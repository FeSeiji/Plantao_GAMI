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1_{CC7C5DE2-9815-400F-AEEF-1FD9895075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<sst xmlns="http://schemas.openxmlformats.org/spreadsheetml/2006/main" count="219" uniqueCount="139">
  <si>
    <t>ML</t>
  </si>
  <si>
    <t>PG</t>
  </si>
  <si>
    <t>PZ</t>
  </si>
  <si>
    <t>NA</t>
  </si>
  <si>
    <t>CH</t>
  </si>
  <si>
    <t>OK</t>
  </si>
  <si>
    <t>DI</t>
  </si>
  <si>
    <t>AD</t>
  </si>
  <si>
    <t>MM</t>
  </si>
  <si>
    <t>GI</t>
  </si>
  <si>
    <t>VI</t>
  </si>
  <si>
    <t>TG</t>
  </si>
  <si>
    <t>LU</t>
  </si>
  <si>
    <t>VS</t>
  </si>
  <si>
    <t>PMP</t>
  </si>
  <si>
    <t>GAMI C/ RECIBO</t>
  </si>
  <si>
    <t>GAMI TOTAL</t>
  </si>
  <si>
    <t>CF COM RECIBO - ESCALADO - lançar valor integral - CUSTAS DE 50% 01/11/2020</t>
  </si>
  <si>
    <t>CF</t>
  </si>
  <si>
    <t>CF COM RECIBO - NÃO ESCALADO - lançar valor integral - CUSTAS DE 20% desde 01 10 2016</t>
  </si>
  <si>
    <t>D. Prévia Sócios</t>
  </si>
  <si>
    <t>ADDS FATURAMENTO</t>
  </si>
  <si>
    <t>ADDS DESPESAS</t>
  </si>
  <si>
    <t>Saldo anterior</t>
  </si>
  <si>
    <t>Associados</t>
  </si>
  <si>
    <t>Tarifa TED</t>
  </si>
  <si>
    <t>Contador</t>
  </si>
  <si>
    <t>Impostos</t>
  </si>
  <si>
    <t>OUTROS</t>
  </si>
  <si>
    <t>TOTAL</t>
  </si>
  <si>
    <t>Saldo atual</t>
  </si>
  <si>
    <t>BANCO</t>
  </si>
  <si>
    <t>DATA PAGO</t>
  </si>
  <si>
    <t>DESPESA PMP</t>
  </si>
  <si>
    <t>DESPESA GAMI</t>
  </si>
  <si>
    <t>Aluguel escr.</t>
  </si>
  <si>
    <t>I.P.T.U.</t>
  </si>
  <si>
    <t>Condominio</t>
  </si>
  <si>
    <t>Tel 3283-5573</t>
  </si>
  <si>
    <t>Tel 3284-6510</t>
  </si>
  <si>
    <t>Eletropaulo</t>
  </si>
  <si>
    <t>Net Virtua</t>
  </si>
  <si>
    <t>UOL</t>
  </si>
  <si>
    <t>Healthchess - hospedagem</t>
  </si>
  <si>
    <t>Healthchess - mensalidade</t>
  </si>
  <si>
    <t>Healthchess - NFS-e</t>
  </si>
  <si>
    <t>Digital</t>
  </si>
  <si>
    <t>Caixinha do escritório</t>
  </si>
  <si>
    <t>Cprinter Inform. (máq. xerox)</t>
  </si>
  <si>
    <t>Hilton informática</t>
  </si>
  <si>
    <t>Motoboy</t>
  </si>
  <si>
    <t>Salário Gabriel</t>
  </si>
  <si>
    <t>beneficios Gabriel</t>
  </si>
  <si>
    <t>Salário Elza</t>
  </si>
  <si>
    <t>Beneficios Elza</t>
  </si>
  <si>
    <t>Salario Queti</t>
  </si>
  <si>
    <t>Benefícios Queti</t>
  </si>
  <si>
    <t>Produtividade Gabriel</t>
  </si>
  <si>
    <t>% Faturista</t>
  </si>
  <si>
    <t>VALOR PMP CONTADOR =</t>
  </si>
  <si>
    <t>Produtividade Elza</t>
  </si>
  <si>
    <t>GAMI CF SEM RECIBOS =</t>
  </si>
  <si>
    <t>GAMI PRO SEM RECIBO =</t>
  </si>
  <si>
    <t>IRRF funcionaria</t>
  </si>
  <si>
    <t>RECIBOS EMITIDOS - HEALTHCHESS =</t>
  </si>
  <si>
    <t>IRRF funcionaria - 13º</t>
  </si>
  <si>
    <t>FGTS</t>
  </si>
  <si>
    <t>VALOR GAMI CONTADOR =</t>
  </si>
  <si>
    <t>Sind. Empr em Estab Saúde</t>
  </si>
  <si>
    <t>CALCULO PREVISAO IMPOSTOS TRIMESTRAIS</t>
  </si>
  <si>
    <t>Contabilidade</t>
  </si>
  <si>
    <t>GAMI</t>
  </si>
  <si>
    <t>Consultax</t>
  </si>
  <si>
    <t>Senacont diversos</t>
  </si>
  <si>
    <t>CSLL</t>
  </si>
  <si>
    <t>PIS</t>
  </si>
  <si>
    <t>INSS pro labore Sócios</t>
  </si>
  <si>
    <t>Cofins</t>
  </si>
  <si>
    <t>INSS - Clean Office</t>
  </si>
  <si>
    <t>IRPJ</t>
  </si>
  <si>
    <t>Plantonistas</t>
  </si>
  <si>
    <t>Advogado</t>
  </si>
  <si>
    <t>100 % Faturamento CF COM RECIBO =</t>
  </si>
  <si>
    <t>DESPESAS MENSAL/CONTROLE COM SECRETÁRIAS</t>
  </si>
  <si>
    <t>Faturamento GAMI na PRO =</t>
  </si>
  <si>
    <t>PREVISAO IMPOSTOS (CSLL E IRPJ)</t>
  </si>
  <si>
    <t>Faturamento Cirurgia Fora % ditribuido =</t>
  </si>
  <si>
    <t>Faturamento  PMP =</t>
  </si>
  <si>
    <t>PMP - Total despesas</t>
  </si>
  <si>
    <t>GAMI - Total despesas</t>
  </si>
  <si>
    <t>Faturamento Geral =</t>
  </si>
  <si>
    <t>Fator de correção distribuição =</t>
  </si>
  <si>
    <t xml:space="preserve">Valor p/ distribuir = </t>
  </si>
  <si>
    <t>VALOR 2026</t>
  </si>
  <si>
    <t>FATOR CORREÇÃO</t>
  </si>
  <si>
    <t>VALOR CORRIGIDO</t>
  </si>
  <si>
    <t>substituido</t>
  </si>
  <si>
    <t>Função</t>
  </si>
  <si>
    <t>Coordenador</t>
  </si>
  <si>
    <t>Segundo dia</t>
  </si>
  <si>
    <t>Terceiro dia</t>
  </si>
  <si>
    <t>Quarto dia</t>
  </si>
  <si>
    <t>Quinto dia</t>
  </si>
  <si>
    <t>sexto dia</t>
  </si>
  <si>
    <t>Sétimo</t>
  </si>
  <si>
    <t>Intermediário</t>
  </si>
  <si>
    <t>Sábado dia</t>
  </si>
  <si>
    <t>Sabado manha</t>
  </si>
  <si>
    <t>Domingo manha</t>
  </si>
  <si>
    <t>Primeiro noite</t>
  </si>
  <si>
    <t>Segundo noite</t>
  </si>
  <si>
    <t>Terceiro noite</t>
  </si>
  <si>
    <t>FS</t>
  </si>
  <si>
    <t>Feriado 4 dias</t>
  </si>
  <si>
    <t xml:space="preserve">Feriado 3 dias </t>
  </si>
  <si>
    <t>Administrativo</t>
  </si>
  <si>
    <t>REUNIÃO</t>
  </si>
  <si>
    <t>Tot substituido</t>
  </si>
  <si>
    <t>Pontos Distribuidos</t>
  </si>
  <si>
    <t>Valor do Ponto</t>
  </si>
  <si>
    <t>PREVISÃO</t>
  </si>
  <si>
    <t>DIF MÊS ANTERIOR</t>
  </si>
  <si>
    <t>DARF</t>
  </si>
  <si>
    <t>PREV ATUALIZADA</t>
  </si>
  <si>
    <t>DISTRIBUIÇÃO CF</t>
  </si>
  <si>
    <t>PRÓ LABORE</t>
  </si>
  <si>
    <t>DISTR DIA 05</t>
  </si>
  <si>
    <t>DISTR TOTAL</t>
  </si>
  <si>
    <t>CF=</t>
  </si>
  <si>
    <t>PRO E CF=</t>
  </si>
  <si>
    <t>TOTAL A DISTRIBUIR</t>
  </si>
  <si>
    <t>Bradesco dia 05</t>
  </si>
  <si>
    <t>Itaú dia 05</t>
  </si>
  <si>
    <t>CEF</t>
  </si>
  <si>
    <t>Balanço</t>
  </si>
  <si>
    <t>DISTR DIA 10</t>
  </si>
  <si>
    <t>Bradesco dia 10</t>
  </si>
  <si>
    <t>Itaú dia 10</t>
  </si>
  <si>
    <t>DIFERENÇA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</si>
</sst>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&quot;R$&quot;\ 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8"/>
      <color rgb="FFFF0000"/>
      <name val="Arial"/>
      <family val="2"/>
    </font>
    <font>
      <sz val="10"/>
      <color indexed="8"/>
      <name val="Arial"/>
      <family val="2"/>
    </font>
    <font>
      <b/>
      <sz val="14"/>
      <color rgb="FFFF0000"/>
      <name val="Arial"/>
      <family val="2"/>
    </font>
    <font>
      <b/>
      <sz val="9"/>
      <color indexed="1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rgb="FF0000FF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3"/>
      <name val="Arial"/>
      <family val="2"/>
    </font>
    <font>
      <b/>
      <sz val="11"/>
      <color rgb="FF0000FF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b/>
      <sz val="10"/>
      <color indexed="10"/>
      <name val="Arial"/>
      <family val="2"/>
    </font>
    <font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8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4" fontId="3" fillId="0" borderId="1" xfId="0" applyNumberFormat="1" applyFont="1" applyBorder="1" applyAlignment="1" applyProtection="1">
      <alignment horizontal="center"/>
      <protection locked="0"/>
    </xf>
    <xf numFmtId="4" fontId="3" fillId="0" borderId="2" xfId="0" applyNumberFormat="1" applyFont="1" applyBorder="1" applyAlignment="1" applyProtection="1">
      <alignment horizontal="center"/>
      <protection locked="0"/>
    </xf>
    <xf numFmtId="4" fontId="3" fillId="0" borderId="3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4" fontId="5" fillId="0" borderId="6" xfId="1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44" fontId="5" fillId="0" borderId="8" xfId="1" applyFont="1" applyBorder="1" applyProtection="1">
      <protection locked="0"/>
    </xf>
    <xf numFmtId="44" fontId="5" fillId="0" borderId="9" xfId="1" applyFont="1" applyBorder="1" applyProtection="1">
      <protection locked="0"/>
    </xf>
    <xf numFmtId="44" fontId="8" fillId="0" borderId="9" xfId="1" applyFont="1" applyBorder="1" applyProtection="1">
      <protection locked="0"/>
    </xf>
    <xf numFmtId="44" fontId="2" fillId="0" borderId="10" xfId="1" applyFont="1" applyBorder="1" applyProtection="1">
      <protection locked="0"/>
    </xf>
    <xf numFmtId="44" fontId="8" fillId="0" borderId="11" xfId="1" applyFont="1" applyBorder="1" applyProtection="1">
      <protection locked="0"/>
    </xf>
    <xf numFmtId="44" fontId="5" fillId="0" borderId="12" xfId="1" applyFont="1" applyBorder="1" applyProtection="1">
      <protection locked="0"/>
    </xf>
    <xf numFmtId="44" fontId="6" fillId="0" borderId="13" xfId="1" applyFont="1" applyBorder="1" applyProtection="1">
      <protection locked="0"/>
    </xf>
    <xf numFmtId="2" fontId="5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44" fontId="5" fillId="0" borderId="0" xfId="1" applyFont="1" applyProtection="1">
      <protection locked="0"/>
    </xf>
    <xf numFmtId="4" fontId="5" fillId="0" borderId="14" xfId="0" applyNumberFormat="1" applyFont="1" applyBorder="1" applyProtection="1">
      <protection locked="0"/>
    </xf>
    <xf numFmtId="0" fontId="2" fillId="0" borderId="15" xfId="0" applyFont="1" applyBorder="1" applyProtection="1">
      <protection locked="0"/>
    </xf>
    <xf numFmtId="4" fontId="2" fillId="0" borderId="0" xfId="0" applyNumberFormat="1" applyFont="1" applyProtection="1">
      <protection locked="0"/>
    </xf>
    <xf numFmtId="0" fontId="9" fillId="0" borderId="0" xfId="0" applyFont="1" applyProtection="1">
      <protection locked="0"/>
    </xf>
    <xf numFmtId="44" fontId="3" fillId="2" borderId="16" xfId="1" applyFont="1" applyFill="1" applyBorder="1"/>
    <xf numFmtId="4" fontId="5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right"/>
      <protection locked="0"/>
    </xf>
    <xf numFmtId="9" fontId="11" fillId="0" borderId="0" xfId="0" applyNumberFormat="1" applyFont="1" applyAlignment="1" applyProtection="1">
      <alignment horizontal="left"/>
      <protection locked="0"/>
    </xf>
    <xf numFmtId="4" fontId="3" fillId="0" borderId="0" xfId="0" applyNumberFormat="1" applyFont="1"/>
    <xf numFmtId="4" fontId="3" fillId="3" borderId="0" xfId="0" applyNumberFormat="1" applyFont="1" applyFill="1"/>
    <xf numFmtId="0" fontId="12" fillId="0" borderId="0" xfId="0" applyFont="1" applyProtection="1">
      <protection locked="0"/>
    </xf>
    <xf numFmtId="2" fontId="5" fillId="0" borderId="0" xfId="0" applyNumberFormat="1" applyFont="1" applyAlignment="1" applyProtection="1">
      <alignment horizontal="right"/>
      <protection locked="0"/>
    </xf>
    <xf numFmtId="4" fontId="3" fillId="0" borderId="12" xfId="0" applyNumberFormat="1" applyFont="1" applyBorder="1" applyProtection="1">
      <protection locked="0"/>
    </xf>
    <xf numFmtId="4" fontId="3" fillId="0" borderId="20" xfId="0" applyNumberFormat="1" applyFont="1" applyBorder="1" applyProtection="1">
      <protection locked="0"/>
    </xf>
    <xf numFmtId="4" fontId="3" fillId="0" borderId="13" xfId="0" applyNumberFormat="1" applyFont="1" applyBorder="1" applyProtection="1">
      <protection locked="0"/>
    </xf>
    <xf numFmtId="0" fontId="13" fillId="0" borderId="0" xfId="0" applyFont="1" applyProtection="1">
      <protection locked="0"/>
    </xf>
    <xf numFmtId="4" fontId="3" fillId="0" borderId="21" xfId="0" applyNumberFormat="1" applyFont="1" applyBorder="1" applyProtection="1">
      <protection locked="0"/>
    </xf>
    <xf numFmtId="4" fontId="3" fillId="0" borderId="22" xfId="0" applyNumberFormat="1" applyFont="1" applyBorder="1" applyProtection="1">
      <protection locked="0"/>
    </xf>
    <xf numFmtId="4" fontId="3" fillId="0" borderId="23" xfId="0" applyNumberFormat="1" applyFont="1" applyBorder="1" applyProtection="1">
      <protection locked="0"/>
    </xf>
    <xf numFmtId="9" fontId="11" fillId="2" borderId="24" xfId="0" applyNumberFormat="1" applyFont="1" applyFill="1" applyBorder="1" applyAlignment="1">
      <alignment horizontal="left"/>
    </xf>
    <xf numFmtId="4" fontId="3" fillId="2" borderId="24" xfId="0" applyNumberFormat="1" applyFont="1" applyFill="1" applyBorder="1"/>
    <xf numFmtId="4" fontId="3" fillId="2" borderId="25" xfId="0" applyNumberFormat="1" applyFont="1" applyFill="1" applyBorder="1"/>
    <xf numFmtId="4" fontId="3" fillId="2" borderId="26" xfId="0" applyNumberFormat="1" applyFont="1" applyFill="1" applyBorder="1"/>
    <xf numFmtId="9" fontId="11" fillId="2" borderId="27" xfId="0" applyNumberFormat="1" applyFont="1" applyFill="1" applyBorder="1" applyAlignment="1">
      <alignment horizontal="left"/>
    </xf>
    <xf numFmtId="4" fontId="3" fillId="2" borderId="27" xfId="0" applyNumberFormat="1" applyFont="1" applyFill="1" applyBorder="1"/>
    <xf numFmtId="4" fontId="3" fillId="2" borderId="0" xfId="0" applyNumberFormat="1" applyFont="1" applyFill="1"/>
    <xf numFmtId="4" fontId="3" fillId="2" borderId="28" xfId="0" applyNumberFormat="1" applyFont="1" applyFill="1" applyBorder="1"/>
    <xf numFmtId="9" fontId="11" fillId="2" borderId="29" xfId="0" applyNumberFormat="1" applyFont="1" applyFill="1" applyBorder="1" applyAlignment="1">
      <alignment horizontal="left"/>
    </xf>
    <xf numFmtId="4" fontId="3" fillId="2" borderId="29" xfId="0" applyNumberFormat="1" applyFont="1" applyFill="1" applyBorder="1"/>
    <xf numFmtId="4" fontId="3" fillId="2" borderId="30" xfId="0" applyNumberFormat="1" applyFont="1" applyFill="1" applyBorder="1"/>
    <xf numFmtId="4" fontId="3" fillId="2" borderId="31" xfId="0" applyNumberFormat="1" applyFont="1" applyFill="1" applyBorder="1"/>
    <xf numFmtId="4" fontId="15" fillId="0" borderId="0" xfId="0" applyNumberFormat="1" applyFont="1"/>
    <xf numFmtId="4" fontId="15" fillId="0" borderId="0" xfId="0" applyNumberFormat="1" applyFont="1" applyProtection="1">
      <protection locked="0"/>
    </xf>
    <xf numFmtId="0" fontId="10" fillId="0" borderId="8" xfId="0" applyFont="1" applyBorder="1" applyProtection="1">
      <protection locked="0"/>
    </xf>
    <xf numFmtId="0" fontId="10" fillId="0" borderId="9" xfId="0" applyFont="1" applyBorder="1" applyProtection="1">
      <protection locked="0"/>
    </xf>
    <xf numFmtId="0" fontId="10" fillId="0" borderId="10" xfId="0" applyFont="1" applyBorder="1" applyProtection="1">
      <protection locked="0"/>
    </xf>
    <xf numFmtId="0" fontId="16" fillId="0" borderId="8" xfId="0" applyFont="1" applyBorder="1" applyProtection="1">
      <protection locked="0"/>
    </xf>
    <xf numFmtId="14" fontId="16" fillId="0" borderId="9" xfId="0" applyNumberFormat="1" applyFont="1" applyBorder="1" applyProtection="1">
      <protection locked="0"/>
    </xf>
    <xf numFmtId="0" fontId="16" fillId="0" borderId="9" xfId="0" applyFont="1" applyBorder="1" applyProtection="1">
      <protection locked="0"/>
    </xf>
    <xf numFmtId="44" fontId="16" fillId="0" borderId="10" xfId="1" applyFont="1" applyBorder="1" applyProtection="1">
      <protection locked="0"/>
    </xf>
    <xf numFmtId="0" fontId="17" fillId="0" borderId="24" xfId="0" applyFont="1" applyBorder="1" applyProtection="1">
      <protection locked="0"/>
    </xf>
    <xf numFmtId="14" fontId="17" fillId="0" borderId="25" xfId="0" applyNumberFormat="1" applyFont="1" applyBorder="1" applyProtection="1">
      <protection locked="0"/>
    </xf>
    <xf numFmtId="44" fontId="17" fillId="0" borderId="26" xfId="1" applyFont="1" applyBorder="1" applyProtection="1">
      <protection locked="0"/>
    </xf>
    <xf numFmtId="0" fontId="16" fillId="0" borderId="24" xfId="0" applyFont="1" applyBorder="1" applyProtection="1">
      <protection locked="0"/>
    </xf>
    <xf numFmtId="14" fontId="16" fillId="0" borderId="25" xfId="0" applyNumberFormat="1" applyFont="1" applyBorder="1" applyProtection="1">
      <protection locked="0"/>
    </xf>
    <xf numFmtId="0" fontId="16" fillId="0" borderId="25" xfId="0" applyFont="1" applyBorder="1" applyProtection="1">
      <protection locked="0"/>
    </xf>
    <xf numFmtId="44" fontId="16" fillId="0" borderId="26" xfId="1" applyFont="1" applyBorder="1" applyProtection="1">
      <protection locked="0"/>
    </xf>
    <xf numFmtId="0" fontId="17" fillId="0" borderId="27" xfId="0" applyFont="1" applyBorder="1" applyProtection="1">
      <protection locked="0"/>
    </xf>
    <xf numFmtId="14" fontId="17" fillId="0" borderId="0" xfId="0" applyNumberFormat="1" applyFont="1" applyProtection="1">
      <protection locked="0"/>
    </xf>
    <xf numFmtId="44" fontId="17" fillId="0" borderId="28" xfId="1" applyFont="1" applyBorder="1" applyProtection="1">
      <protection locked="0"/>
    </xf>
    <xf numFmtId="0" fontId="16" fillId="0" borderId="27" xfId="0" applyFont="1" applyBorder="1" applyProtection="1">
      <protection locked="0"/>
    </xf>
    <xf numFmtId="14" fontId="16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44" fontId="16" fillId="0" borderId="28" xfId="1" applyFont="1" applyBorder="1" applyProtection="1">
      <protection locked="0"/>
    </xf>
    <xf numFmtId="0" fontId="14" fillId="0" borderId="0" xfId="0" applyFont="1" applyAlignment="1" applyProtection="1">
      <alignment horizontal="right"/>
      <protection locked="0"/>
    </xf>
    <xf numFmtId="0" fontId="16" fillId="0" borderId="28" xfId="0" applyFont="1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16" fillId="0" borderId="29" xfId="0" applyFont="1" applyBorder="1" applyProtection="1">
      <protection locked="0"/>
    </xf>
    <xf numFmtId="14" fontId="16" fillId="0" borderId="30" xfId="0" applyNumberFormat="1" applyFont="1" applyBorder="1" applyProtection="1">
      <protection locked="0"/>
    </xf>
    <xf numFmtId="0" fontId="16" fillId="0" borderId="30" xfId="0" applyFont="1" applyBorder="1" applyProtection="1">
      <protection locked="0"/>
    </xf>
    <xf numFmtId="44" fontId="18" fillId="0" borderId="31" xfId="1" applyFont="1" applyBorder="1" applyProtection="1">
      <protection locked="0"/>
    </xf>
    <xf numFmtId="0" fontId="17" fillId="0" borderId="29" xfId="0" applyFont="1" applyBorder="1" applyProtection="1">
      <protection locked="0"/>
    </xf>
    <xf numFmtId="14" fontId="17" fillId="0" borderId="30" xfId="0" applyNumberFormat="1" applyFont="1" applyBorder="1" applyProtection="1">
      <protection locked="0"/>
    </xf>
    <xf numFmtId="44" fontId="17" fillId="0" borderId="31" xfId="0" applyNumberFormat="1" applyFont="1" applyBorder="1" applyProtection="1">
      <protection locked="0"/>
    </xf>
    <xf numFmtId="44" fontId="18" fillId="0" borderId="0" xfId="1" applyFont="1" applyProtection="1">
      <protection locked="0"/>
    </xf>
    <xf numFmtId="0" fontId="18" fillId="0" borderId="8" xfId="0" applyFont="1" applyBorder="1" applyProtection="1">
      <protection locked="0"/>
    </xf>
    <xf numFmtId="0" fontId="18" fillId="0" borderId="9" xfId="0" applyFont="1" applyBorder="1" applyProtection="1">
      <protection locked="0"/>
    </xf>
    <xf numFmtId="44" fontId="16" fillId="0" borderId="10" xfId="0" applyNumberFormat="1" applyFont="1" applyBorder="1" applyProtection="1">
      <protection locked="0"/>
    </xf>
    <xf numFmtId="4" fontId="19" fillId="0" borderId="0" xfId="0" applyNumberFormat="1" applyFont="1" applyAlignment="1" applyProtection="1">
      <alignment horizontal="right"/>
      <protection locked="0"/>
    </xf>
    <xf numFmtId="4" fontId="3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44" fontId="20" fillId="0" borderId="0" xfId="1" applyFont="1" applyProtection="1">
      <protection locked="0"/>
    </xf>
    <xf numFmtId="14" fontId="13" fillId="0" borderId="0" xfId="0" applyNumberFormat="1" applyFont="1" applyProtection="1">
      <protection locked="0"/>
    </xf>
    <xf numFmtId="44" fontId="0" fillId="0" borderId="0" xfId="0" applyNumberFormat="1" applyProtection="1">
      <protection locked="0"/>
    </xf>
    <xf numFmtId="4" fontId="6" fillId="0" borderId="5" xfId="0" applyNumberFormat="1" applyFont="1" applyBorder="1" applyAlignment="1" applyProtection="1">
      <alignment horizontal="center"/>
      <protection locked="0"/>
    </xf>
    <xf numFmtId="4" fontId="6" fillId="0" borderId="26" xfId="0" applyNumberFormat="1" applyFont="1" applyBorder="1" applyAlignment="1" applyProtection="1">
      <alignment horizontal="center"/>
      <protection locked="0"/>
    </xf>
    <xf numFmtId="4" fontId="22" fillId="0" borderId="6" xfId="0" applyNumberFormat="1" applyFont="1" applyBorder="1" applyAlignment="1" applyProtection="1">
      <alignment horizontal="center"/>
      <protection locked="0"/>
    </xf>
    <xf numFmtId="14" fontId="0" fillId="0" borderId="32" xfId="0" applyNumberFormat="1" applyBorder="1" applyProtection="1">
      <protection locked="0"/>
    </xf>
    <xf numFmtId="0" fontId="18" fillId="0" borderId="33" xfId="0" applyFont="1" applyBorder="1" applyProtection="1">
      <protection locked="0"/>
    </xf>
    <xf numFmtId="0" fontId="18" fillId="0" borderId="33" xfId="0" applyFont="1" applyBorder="1" applyAlignment="1" applyProtection="1">
      <alignment horizontal="right"/>
      <protection locked="0"/>
    </xf>
    <xf numFmtId="4" fontId="23" fillId="0" borderId="7" xfId="0" applyNumberFormat="1" applyFont="1" applyBorder="1" applyProtection="1">
      <protection locked="0"/>
    </xf>
    <xf numFmtId="4" fontId="22" fillId="0" borderId="34" xfId="0" applyNumberFormat="1" applyFont="1" applyBorder="1" applyAlignment="1" applyProtection="1">
      <alignment horizontal="center"/>
      <protection locked="0"/>
    </xf>
    <xf numFmtId="14" fontId="0" fillId="0" borderId="35" xfId="0" applyNumberFormat="1" applyBorder="1" applyProtection="1">
      <protection locked="0"/>
    </xf>
    <xf numFmtId="16" fontId="18" fillId="0" borderId="36" xfId="0" applyNumberFormat="1" applyFont="1" applyBorder="1" applyProtection="1">
      <protection locked="0"/>
    </xf>
    <xf numFmtId="0" fontId="18" fillId="0" borderId="36" xfId="0" applyFont="1" applyBorder="1" applyAlignment="1" applyProtection="1">
      <alignment horizontal="right"/>
      <protection locked="0"/>
    </xf>
    <xf numFmtId="4" fontId="23" fillId="0" borderId="37" xfId="0" applyNumberFormat="1" applyFont="1" applyBorder="1" applyProtection="1">
      <protection locked="0"/>
    </xf>
    <xf numFmtId="4" fontId="22" fillId="0" borderId="12" xfId="0" applyNumberFormat="1" applyFont="1" applyBorder="1" applyAlignment="1" applyProtection="1">
      <alignment horizontal="center"/>
      <protection locked="0"/>
    </xf>
    <xf numFmtId="14" fontId="0" fillId="0" borderId="38" xfId="0" applyNumberFormat="1" applyBorder="1" applyProtection="1">
      <protection locked="0"/>
    </xf>
    <xf numFmtId="0" fontId="18" fillId="0" borderId="20" xfId="0" applyFont="1" applyBorder="1" applyProtection="1">
      <protection locked="0"/>
    </xf>
    <xf numFmtId="0" fontId="18" fillId="0" borderId="20" xfId="0" applyFont="1" applyBorder="1" applyAlignment="1" applyProtection="1">
      <alignment horizontal="right"/>
      <protection locked="0"/>
    </xf>
    <xf numFmtId="4" fontId="23" fillId="0" borderId="13" xfId="0" applyNumberFormat="1" applyFont="1" applyBorder="1" applyProtection="1">
      <protection locked="0"/>
    </xf>
    <xf numFmtId="0" fontId="2" fillId="0" borderId="20" xfId="0" applyFont="1" applyBorder="1" applyProtection="1">
      <protection locked="0"/>
    </xf>
    <xf numFmtId="0" fontId="16" fillId="0" borderId="20" xfId="0" applyFont="1" applyBorder="1" applyAlignment="1" applyProtection="1">
      <alignment horizontal="right"/>
      <protection locked="0"/>
    </xf>
    <xf numFmtId="44" fontId="24" fillId="2" borderId="0" xfId="1" applyFont="1" applyFill="1"/>
    <xf numFmtId="4" fontId="23" fillId="2" borderId="13" xfId="0" applyNumberFormat="1" applyFont="1" applyFill="1" applyBorder="1"/>
    <xf numFmtId="0" fontId="4" fillId="2" borderId="17" xfId="0" applyFont="1" applyFill="1" applyBorder="1" applyAlignment="1">
      <alignment horizontal="center"/>
    </xf>
    <xf numFmtId="0" fontId="25" fillId="0" borderId="8" xfId="0" applyFont="1" applyBorder="1" applyProtection="1">
      <protection locked="0"/>
    </xf>
    <xf numFmtId="0" fontId="25" fillId="0" borderId="9" xfId="0" applyFont="1" applyBorder="1" applyProtection="1">
      <protection locked="0"/>
    </xf>
    <xf numFmtId="0" fontId="25" fillId="0" borderId="39" xfId="0" applyFont="1" applyBorder="1" applyProtection="1">
      <protection locked="0"/>
    </xf>
    <xf numFmtId="44" fontId="18" fillId="2" borderId="4" xfId="1" applyFont="1" applyFill="1" applyBorder="1"/>
    <xf numFmtId="10" fontId="4" fillId="2" borderId="40" xfId="0" applyNumberFormat="1" applyFont="1" applyFill="1" applyBorder="1" applyAlignment="1">
      <alignment horizontal="center"/>
    </xf>
    <xf numFmtId="0" fontId="2" fillId="0" borderId="6" xfId="0" applyFont="1" applyBorder="1" applyAlignment="1" applyProtection="1">
      <alignment horizontal="right"/>
      <protection locked="0"/>
    </xf>
    <xf numFmtId="0" fontId="2" fillId="0" borderId="33" xfId="0" applyFont="1" applyBorder="1" applyAlignment="1" applyProtection="1">
      <alignment horizontal="right"/>
      <protection locked="0"/>
    </xf>
    <xf numFmtId="0" fontId="10" fillId="0" borderId="33" xfId="0" applyFont="1" applyBorder="1" applyAlignment="1" applyProtection="1">
      <alignment horizontal="right"/>
      <protection locked="0"/>
    </xf>
    <xf numFmtId="44" fontId="16" fillId="2" borderId="7" xfId="1" applyFont="1" applyFill="1" applyBorder="1"/>
    <xf numFmtId="0" fontId="0" fillId="0" borderId="14" xfId="0" applyBorder="1" applyProtection="1">
      <protection locked="0"/>
    </xf>
    <xf numFmtId="0" fontId="0" fillId="0" borderId="41" xfId="0" applyBorder="1" applyProtection="1">
      <protection locked="0"/>
    </xf>
    <xf numFmtId="0" fontId="10" fillId="0" borderId="41" xfId="0" applyFont="1" applyBorder="1" applyAlignment="1" applyProtection="1">
      <alignment horizontal="right"/>
      <protection locked="0"/>
    </xf>
    <xf numFmtId="164" fontId="0" fillId="2" borderId="15" xfId="0" applyNumberFormat="1" applyFill="1" applyBorder="1"/>
    <xf numFmtId="0" fontId="0" fillId="0" borderId="42" xfId="0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41" xfId="0" applyFont="1" applyBorder="1" applyAlignment="1" applyProtection="1">
      <alignment horizontal="right"/>
      <protection locked="0"/>
    </xf>
    <xf numFmtId="0" fontId="0" fillId="0" borderId="43" xfId="0" applyBorder="1" applyAlignment="1" applyProtection="1">
      <alignment horizontal="right"/>
      <protection locked="0"/>
    </xf>
    <xf numFmtId="44" fontId="16" fillId="0" borderId="15" xfId="1" applyFont="1" applyBorder="1" applyProtection="1">
      <protection locked="0"/>
    </xf>
    <xf numFmtId="0" fontId="26" fillId="2" borderId="8" xfId="0" applyFont="1" applyFill="1" applyBorder="1"/>
    <xf numFmtId="0" fontId="26" fillId="2" borderId="9" xfId="0" applyFont="1" applyFill="1" applyBorder="1"/>
    <xf numFmtId="0" fontId="26" fillId="2" borderId="10" xfId="0" applyFont="1" applyFill="1" applyBorder="1"/>
    <xf numFmtId="0" fontId="2" fillId="2" borderId="24" xfId="0" applyFont="1" applyFill="1" applyBorder="1"/>
    <xf numFmtId="0" fontId="0" fillId="2" borderId="25" xfId="0" applyFill="1" applyBorder="1"/>
    <xf numFmtId="4" fontId="6" fillId="2" borderId="5" xfId="0" applyNumberFormat="1" applyFont="1" applyFill="1" applyBorder="1" applyAlignment="1">
      <alignment horizontal="center"/>
    </xf>
    <xf numFmtId="0" fontId="5" fillId="0" borderId="0" xfId="0" applyFont="1" applyAlignment="1" applyProtection="1">
      <alignment horizontal="right"/>
      <protection locked="0"/>
    </xf>
    <xf numFmtId="4" fontId="23" fillId="2" borderId="24" xfId="0" applyNumberFormat="1" applyFont="1" applyFill="1" applyBorder="1"/>
    <xf numFmtId="10" fontId="18" fillId="2" borderId="25" xfId="0" applyNumberFormat="1" applyFont="1" applyFill="1" applyBorder="1"/>
    <xf numFmtId="10" fontId="23" fillId="2" borderId="25" xfId="2" applyNumberFormat="1" applyFont="1" applyFill="1" applyBorder="1"/>
    <xf numFmtId="4" fontId="23" fillId="2" borderId="5" xfId="0" applyNumberFormat="1" applyFont="1" applyFill="1" applyBorder="1"/>
    <xf numFmtId="4" fontId="23" fillId="2" borderId="27" xfId="0" applyNumberFormat="1" applyFont="1" applyFill="1" applyBorder="1"/>
    <xf numFmtId="9" fontId="18" fillId="2" borderId="0" xfId="0" applyNumberFormat="1" applyFont="1" applyFill="1"/>
    <xf numFmtId="10" fontId="23" fillId="2" borderId="0" xfId="2" applyNumberFormat="1" applyFont="1" applyFill="1"/>
    <xf numFmtId="4" fontId="23" fillId="2" borderId="44" xfId="0" applyNumberFormat="1" applyFont="1" applyFill="1" applyBorder="1"/>
    <xf numFmtId="4" fontId="23" fillId="2" borderId="29" xfId="0" applyNumberFormat="1" applyFont="1" applyFill="1" applyBorder="1"/>
    <xf numFmtId="10" fontId="18" fillId="2" borderId="30" xfId="0" applyNumberFormat="1" applyFont="1" applyFill="1" applyBorder="1"/>
    <xf numFmtId="10" fontId="23" fillId="2" borderId="30" xfId="2" applyNumberFormat="1" applyFont="1" applyFill="1" applyBorder="1"/>
    <xf numFmtId="4" fontId="23" fillId="2" borderId="16" xfId="0" applyNumberFormat="1" applyFont="1" applyFill="1" applyBorder="1"/>
    <xf numFmtId="4" fontId="19" fillId="0" borderId="8" xfId="0" applyNumberFormat="1" applyFont="1" applyBorder="1" applyProtection="1">
      <protection locked="0"/>
    </xf>
    <xf numFmtId="4" fontId="19" fillId="0" borderId="9" xfId="0" applyNumberFormat="1" applyFont="1" applyBorder="1" applyProtection="1">
      <protection locked="0"/>
    </xf>
    <xf numFmtId="4" fontId="19" fillId="0" borderId="10" xfId="0" applyNumberFormat="1" applyFont="1" applyBorder="1" applyProtection="1">
      <protection locked="0"/>
    </xf>
    <xf numFmtId="4" fontId="3" fillId="2" borderId="45" xfId="0" applyNumberFormat="1" applyFont="1" applyFill="1" applyBorder="1"/>
    <xf numFmtId="0" fontId="18" fillId="0" borderId="22" xfId="0" applyFont="1" applyBorder="1" applyProtection="1">
      <protection locked="0"/>
    </xf>
    <xf numFmtId="0" fontId="6" fillId="0" borderId="22" xfId="0" applyFont="1" applyBorder="1" applyAlignment="1" applyProtection="1">
      <alignment horizontal="right"/>
      <protection locked="0"/>
    </xf>
    <xf numFmtId="4" fontId="23" fillId="0" borderId="23" xfId="0" applyNumberFormat="1" applyFont="1" applyBorder="1" applyProtection="1">
      <protection locked="0"/>
    </xf>
    <xf numFmtId="4" fontId="3" fillId="2" borderId="5" xfId="0" applyNumberFormat="1" applyFont="1" applyFill="1" applyBorder="1"/>
    <xf numFmtId="10" fontId="2" fillId="2" borderId="0" xfId="2" applyNumberFormat="1" applyFont="1" applyFill="1"/>
    <xf numFmtId="4" fontId="22" fillId="2" borderId="14" xfId="0" applyNumberFormat="1" applyFont="1" applyFill="1" applyBorder="1" applyAlignment="1">
      <alignment horizontal="center"/>
    </xf>
    <xf numFmtId="14" fontId="0" fillId="2" borderId="46" xfId="0" applyNumberFormat="1" applyFill="1" applyBorder="1"/>
    <xf numFmtId="0" fontId="18" fillId="2" borderId="41" xfId="0" applyFont="1" applyFill="1" applyBorder="1"/>
    <xf numFmtId="0" fontId="10" fillId="2" borderId="41" xfId="0" applyFont="1" applyFill="1" applyBorder="1" applyAlignment="1">
      <alignment horizontal="right"/>
    </xf>
    <xf numFmtId="4" fontId="23" fillId="2" borderId="15" xfId="0" applyNumberFormat="1" applyFont="1" applyFill="1" applyBorder="1"/>
    <xf numFmtId="4" fontId="27" fillId="0" borderId="8" xfId="0" applyNumberFormat="1" applyFont="1" applyBorder="1" applyProtection="1">
      <protection locked="0"/>
    </xf>
    <xf numFmtId="4" fontId="27" fillId="0" borderId="9" xfId="0" applyNumberFormat="1" applyFont="1" applyBorder="1" applyProtection="1">
      <protection locked="0"/>
    </xf>
    <xf numFmtId="4" fontId="27" fillId="0" borderId="10" xfId="0" applyNumberFormat="1" applyFont="1" applyBorder="1" applyProtection="1">
      <protection locked="0"/>
    </xf>
    <xf numFmtId="4" fontId="3" fillId="2" borderId="44" xfId="0" applyNumberFormat="1" applyFont="1" applyFill="1" applyBorder="1"/>
    <xf numFmtId="4" fontId="3" fillId="2" borderId="16" xfId="0" applyNumberFormat="1" applyFont="1" applyFill="1" applyBorder="1"/>
    <xf numFmtId="4" fontId="23" fillId="0" borderId="0" xfId="0" applyNumberFormat="1" applyFont="1" applyProtection="1">
      <protection locked="0"/>
    </xf>
    <xf numFmtId="0" fontId="21" fillId="2" borderId="8" xfId="0" applyFont="1" applyFill="1" applyBorder="1"/>
    <xf numFmtId="4" fontId="21" fillId="4" borderId="9" xfId="0" applyNumberFormat="1" applyFont="1" applyFill="1" applyBorder="1" applyAlignment="1">
      <alignment horizontal="right"/>
    </xf>
    <xf numFmtId="4" fontId="28" fillId="2" borderId="45" xfId="0" applyNumberFormat="1" applyFont="1" applyFill="1" applyBorder="1" applyAlignment="1">
      <alignment horizontal="right"/>
    </xf>
    <xf numFmtId="4" fontId="21" fillId="2" borderId="9" xfId="0" applyNumberFormat="1" applyFont="1" applyFill="1" applyBorder="1" applyAlignment="1">
      <alignment horizontal="right"/>
    </xf>
    <xf numFmtId="10" fontId="2" fillId="0" borderId="0" xfId="2" applyNumberFormat="1" applyFont="1" applyProtection="1">
      <protection locked="0"/>
    </xf>
    <xf numFmtId="9" fontId="4" fillId="0" borderId="20" xfId="2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8" xfId="0" applyFont="1" applyBorder="1" applyAlignment="1" applyProtection="1">
      <alignment horizontal="right"/>
      <protection locked="0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9" fillId="0" borderId="24" xfId="0" applyFont="1" applyBorder="1" applyAlignment="1" applyProtection="1">
      <alignment horizontal="right"/>
      <protection locked="0"/>
    </xf>
    <xf numFmtId="1" fontId="23" fillId="2" borderId="24" xfId="0" applyNumberFormat="1" applyFont="1" applyFill="1" applyBorder="1" applyAlignment="1">
      <alignment horizontal="center"/>
    </xf>
    <xf numFmtId="1" fontId="23" fillId="2" borderId="25" xfId="0" applyNumberFormat="1" applyFont="1" applyFill="1" applyBorder="1" applyAlignment="1">
      <alignment horizontal="center"/>
    </xf>
    <xf numFmtId="1" fontId="23" fillId="2" borderId="26" xfId="0" applyNumberFormat="1" applyFont="1" applyFill="1" applyBorder="1" applyAlignment="1">
      <alignment horizontal="center"/>
    </xf>
    <xf numFmtId="0" fontId="5" fillId="0" borderId="27" xfId="0" applyFont="1" applyBorder="1" applyAlignment="1" applyProtection="1">
      <alignment horizontal="right"/>
      <protection locked="0"/>
    </xf>
    <xf numFmtId="9" fontId="23" fillId="2" borderId="24" xfId="2" applyFont="1" applyFill="1" applyBorder="1" applyAlignment="1">
      <alignment horizontal="center"/>
    </xf>
    <xf numFmtId="9" fontId="23" fillId="2" borderId="25" xfId="2" applyFont="1" applyFill="1" applyBorder="1" applyAlignment="1">
      <alignment horizontal="center"/>
    </xf>
    <xf numFmtId="9" fontId="23" fillId="2" borderId="26" xfId="2" applyFont="1" applyFill="1" applyBorder="1" applyAlignment="1">
      <alignment horizontal="center"/>
    </xf>
    <xf numFmtId="0" fontId="29" fillId="0" borderId="0" xfId="0" applyFont="1" applyProtection="1">
      <protection locked="0"/>
    </xf>
    <xf numFmtId="1" fontId="23" fillId="2" borderId="8" xfId="0" applyNumberFormat="1" applyFont="1" applyFill="1" applyBorder="1" applyAlignment="1">
      <alignment horizontal="center"/>
    </xf>
    <xf numFmtId="1" fontId="23" fillId="2" borderId="9" xfId="0" applyNumberFormat="1" applyFont="1" applyFill="1" applyBorder="1" applyAlignment="1">
      <alignment horizontal="center"/>
    </xf>
    <xf numFmtId="1" fontId="23" fillId="2" borderId="10" xfId="0" applyNumberFormat="1" applyFont="1" applyFill="1" applyBorder="1" applyAlignment="1">
      <alignment horizontal="center"/>
    </xf>
    <xf numFmtId="0" fontId="2" fillId="5" borderId="24" xfId="0" applyFont="1" applyFill="1" applyBorder="1" applyAlignment="1" applyProtection="1">
      <alignment horizontal="center"/>
      <protection locked="0"/>
    </xf>
    <xf numFmtId="0" fontId="30" fillId="5" borderId="25" xfId="0" applyFont="1" applyFill="1" applyBorder="1" applyAlignment="1" applyProtection="1">
      <alignment horizontal="center"/>
      <protection locked="0"/>
    </xf>
    <xf numFmtId="0" fontId="2" fillId="5" borderId="25" xfId="0" applyFont="1" applyFill="1" applyBorder="1" applyAlignment="1" applyProtection="1">
      <alignment horizontal="center"/>
      <protection locked="0"/>
    </xf>
    <xf numFmtId="0" fontId="2" fillId="5" borderId="26" xfId="0" applyFont="1" applyFill="1" applyBorder="1" applyAlignment="1" applyProtection="1">
      <alignment horizontal="center"/>
      <protection locked="0"/>
    </xf>
    <xf numFmtId="0" fontId="2" fillId="5" borderId="27" xfId="0" applyFont="1" applyFill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5" borderId="28" xfId="0" applyFont="1" applyFill="1" applyBorder="1" applyAlignment="1" applyProtection="1">
      <alignment horizontal="center"/>
      <protection locked="0"/>
    </xf>
    <xf numFmtId="0" fontId="11" fillId="0" borderId="24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10" fillId="0" borderId="6" xfId="0" applyFont="1" applyBorder="1" applyProtection="1">
      <protection locked="0"/>
    </xf>
    <xf numFmtId="0" fontId="4" fillId="0" borderId="7" xfId="0" applyFont="1" applyBorder="1" applyAlignment="1" applyProtection="1">
      <alignment horizontal="center"/>
      <protection locked="0"/>
    </xf>
    <xf numFmtId="44" fontId="24" fillId="0" borderId="0" xfId="1" applyFont="1" applyProtection="1">
      <protection locked="0"/>
    </xf>
    <xf numFmtId="0" fontId="10" fillId="0" borderId="12" xfId="0" applyFont="1" applyBorder="1" applyProtection="1">
      <protection locked="0"/>
    </xf>
    <xf numFmtId="0" fontId="4" fillId="0" borderId="13" xfId="0" applyFont="1" applyBorder="1" applyAlignment="1" applyProtection="1">
      <alignment horizontal="center"/>
      <protection locked="0"/>
    </xf>
    <xf numFmtId="2" fontId="23" fillId="5" borderId="0" xfId="0" applyNumberFormat="1" applyFont="1" applyFill="1" applyAlignment="1">
      <alignment horizontal="center"/>
    </xf>
    <xf numFmtId="0" fontId="3" fillId="0" borderId="14" xfId="0" applyFont="1" applyBorder="1" applyProtection="1"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31" fillId="0" borderId="0" xfId="0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33" fillId="0" borderId="0" xfId="0" applyFont="1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5" borderId="47" xfId="0" applyFont="1" applyFill="1" applyBorder="1" applyAlignment="1" applyProtection="1">
      <alignment horizontal="center"/>
      <protection locked="0"/>
    </xf>
    <xf numFmtId="0" fontId="2" fillId="5" borderId="48" xfId="0" applyFont="1" applyFill="1" applyBorder="1" applyAlignment="1" applyProtection="1">
      <alignment horizontal="center"/>
      <protection locked="0"/>
    </xf>
    <xf numFmtId="0" fontId="0" fillId="5" borderId="48" xfId="0" applyFill="1" applyBorder="1" applyAlignment="1" applyProtection="1">
      <alignment horizontal="center"/>
      <protection locked="0"/>
    </xf>
    <xf numFmtId="0" fontId="2" fillId="5" borderId="49" xfId="0" applyFont="1" applyFill="1" applyBorder="1" applyAlignment="1" applyProtection="1">
      <alignment horizont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locked="0"/>
    </xf>
    <xf numFmtId="0" fontId="2" fillId="5" borderId="29" xfId="0" applyFont="1" applyFill="1" applyBorder="1" applyAlignment="1" applyProtection="1">
      <alignment horizontal="center"/>
      <protection locked="0"/>
    </xf>
    <xf numFmtId="0" fontId="2" fillId="5" borderId="30" xfId="0" applyFont="1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2" fillId="5" borderId="31" xfId="0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27" xfId="0" applyFont="1" applyBorder="1" applyAlignment="1" applyProtection="1">
      <alignment horizontal="right"/>
      <protection locked="0"/>
    </xf>
    <xf numFmtId="2" fontId="23" fillId="2" borderId="24" xfId="0" applyNumberFormat="1" applyFont="1" applyFill="1" applyBorder="1" applyAlignment="1">
      <alignment horizontal="center"/>
    </xf>
    <xf numFmtId="2" fontId="34" fillId="2" borderId="50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vertical="center"/>
      <protection locked="0"/>
    </xf>
    <xf numFmtId="0" fontId="3" fillId="0" borderId="27" xfId="0" applyFont="1" applyBorder="1" applyAlignment="1" applyProtection="1">
      <alignment horizontal="right"/>
      <protection locked="0"/>
    </xf>
    <xf numFmtId="1" fontId="30" fillId="2" borderId="24" xfId="0" applyNumberFormat="1" applyFont="1" applyFill="1" applyBorder="1" applyAlignment="1">
      <alignment horizontal="center"/>
    </xf>
    <xf numFmtId="1" fontId="34" fillId="2" borderId="11" xfId="0" applyNumberFormat="1" applyFont="1" applyFill="1" applyBorder="1" applyAlignment="1">
      <alignment horizontal="center"/>
    </xf>
    <xf numFmtId="0" fontId="3" fillId="0" borderId="6" xfId="0" applyFont="1" applyBorder="1" applyAlignment="1" applyProtection="1">
      <alignment horizontal="right"/>
      <protection locked="0"/>
    </xf>
    <xf numFmtId="1" fontId="3" fillId="2" borderId="7" xfId="0" applyNumberFormat="1" applyFont="1" applyFill="1" applyBorder="1" applyAlignment="1">
      <alignment horizontal="center"/>
    </xf>
    <xf numFmtId="1" fontId="30" fillId="3" borderId="38" xfId="0" applyNumberFormat="1" applyFont="1" applyFill="1" applyBorder="1" applyAlignment="1">
      <alignment horizontal="center"/>
    </xf>
    <xf numFmtId="1" fontId="30" fillId="3" borderId="20" xfId="0" applyNumberFormat="1" applyFont="1" applyFill="1" applyBorder="1" applyAlignment="1">
      <alignment horizontal="center"/>
    </xf>
    <xf numFmtId="1" fontId="30" fillId="3" borderId="51" xfId="0" applyNumberFormat="1" applyFont="1" applyFill="1" applyBorder="1" applyAlignment="1">
      <alignment horizontal="center"/>
    </xf>
    <xf numFmtId="2" fontId="23" fillId="3" borderId="36" xfId="0" applyNumberFormat="1" applyFont="1" applyFill="1" applyBorder="1" applyAlignment="1">
      <alignment horizontal="center"/>
    </xf>
    <xf numFmtId="0" fontId="3" fillId="0" borderId="14" xfId="0" applyFont="1" applyBorder="1" applyAlignment="1" applyProtection="1">
      <alignment horizontal="right"/>
      <protection locked="0"/>
    </xf>
    <xf numFmtId="165" fontId="3" fillId="2" borderId="15" xfId="0" applyNumberFormat="1" applyFont="1" applyFill="1" applyBorder="1" applyAlignment="1">
      <alignment horizontal="center"/>
    </xf>
    <xf numFmtId="1" fontId="30" fillId="3" borderId="52" xfId="0" applyNumberFormat="1" applyFont="1" applyFill="1" applyBorder="1" applyAlignment="1">
      <alignment horizontal="center"/>
    </xf>
    <xf numFmtId="1" fontId="30" fillId="3" borderId="22" xfId="0" applyNumberFormat="1" applyFont="1" applyFill="1" applyBorder="1" applyAlignment="1">
      <alignment horizontal="center"/>
    </xf>
    <xf numFmtId="1" fontId="30" fillId="3" borderId="53" xfId="0" applyNumberFormat="1" applyFont="1" applyFill="1" applyBorder="1" applyAlignment="1">
      <alignment horizontal="center"/>
    </xf>
    <xf numFmtId="2" fontId="23" fillId="3" borderId="20" xfId="0" applyNumberFormat="1" applyFont="1" applyFill="1" applyBorder="1" applyAlignment="1">
      <alignment horizontal="center"/>
    </xf>
    <xf numFmtId="0" fontId="3" fillId="3" borderId="54" xfId="0" applyFont="1" applyFill="1" applyBorder="1" applyAlignment="1" applyProtection="1">
      <alignment horizontal="right"/>
      <protection locked="0"/>
    </xf>
    <xf numFmtId="1" fontId="30" fillId="3" borderId="54" xfId="0" applyNumberFormat="1" applyFont="1" applyFill="1" applyBorder="1" applyAlignment="1">
      <alignment horizontal="center"/>
    </xf>
    <xf numFmtId="2" fontId="23" fillId="3" borderId="22" xfId="0" applyNumberFormat="1" applyFont="1" applyFill="1" applyBorder="1" applyAlignment="1">
      <alignment horizontal="center"/>
    </xf>
    <xf numFmtId="4" fontId="34" fillId="2" borderId="20" xfId="0" applyNumberFormat="1" applyFont="1" applyFill="1" applyBorder="1" applyAlignment="1">
      <alignment vertical="center"/>
    </xf>
    <xf numFmtId="4" fontId="34" fillId="2" borderId="51" xfId="0" applyNumberFormat="1" applyFont="1" applyFill="1" applyBorder="1" applyAlignment="1">
      <alignment vertical="center"/>
    </xf>
    <xf numFmtId="4" fontId="3" fillId="2" borderId="50" xfId="0" applyNumberFormat="1" applyFont="1" applyFill="1" applyBorder="1" applyAlignment="1">
      <alignment vertical="center"/>
    </xf>
    <xf numFmtId="4" fontId="3" fillId="0" borderId="20" xfId="0" applyNumberFormat="1" applyFont="1" applyBorder="1" applyAlignment="1" applyProtection="1">
      <alignment horizontal="right" vertical="center"/>
      <protection locked="0"/>
    </xf>
    <xf numFmtId="4" fontId="5" fillId="0" borderId="20" xfId="0" applyNumberFormat="1" applyFont="1" applyBorder="1" applyAlignment="1" applyProtection="1">
      <alignment horizontal="right" vertical="center"/>
      <protection locked="0"/>
    </xf>
    <xf numFmtId="4" fontId="3" fillId="2" borderId="55" xfId="0" applyNumberFormat="1" applyFont="1" applyFill="1" applyBorder="1" applyAlignment="1">
      <alignment horizontal="right" vertical="center"/>
    </xf>
    <xf numFmtId="4" fontId="5" fillId="0" borderId="51" xfId="0" applyNumberFormat="1" applyFont="1" applyBorder="1" applyAlignment="1" applyProtection="1">
      <alignment horizontal="right" vertical="center"/>
      <protection locked="0"/>
    </xf>
    <xf numFmtId="4" fontId="3" fillId="2" borderId="20" xfId="0" applyNumberFormat="1" applyFont="1" applyFill="1" applyBorder="1" applyAlignment="1">
      <alignment horizontal="right" vertical="center"/>
    </xf>
    <xf numFmtId="4" fontId="3" fillId="2" borderId="51" xfId="0" applyNumberFormat="1" applyFont="1" applyFill="1" applyBorder="1" applyAlignment="1">
      <alignment horizontal="right" vertical="center"/>
    </xf>
    <xf numFmtId="4" fontId="3" fillId="2" borderId="55" xfId="0" applyNumberFormat="1" applyFont="1" applyFill="1" applyBorder="1" applyAlignment="1">
      <alignment vertical="center"/>
    </xf>
    <xf numFmtId="4" fontId="5" fillId="0" borderId="20" xfId="0" applyNumberFormat="1" applyFont="1" applyBorder="1" applyAlignment="1" applyProtection="1">
      <alignment vertical="center"/>
      <protection locked="0"/>
    </xf>
    <xf numFmtId="4" fontId="5" fillId="0" borderId="51" xfId="0" applyNumberFormat="1" applyFont="1" applyBorder="1" applyAlignment="1" applyProtection="1">
      <alignment vertical="center"/>
      <protection locked="0"/>
    </xf>
    <xf numFmtId="4" fontId="3" fillId="0" borderId="51" xfId="0" applyNumberFormat="1" applyFont="1" applyBorder="1" applyAlignment="1" applyProtection="1">
      <alignment horizontal="right" vertical="center"/>
      <protection locked="0"/>
    </xf>
    <xf numFmtId="4" fontId="3" fillId="2" borderId="11" xfId="0" applyNumberFormat="1" applyFont="1" applyFill="1" applyBorder="1" applyAlignment="1">
      <alignment vertical="center"/>
    </xf>
    <xf numFmtId="0" fontId="29" fillId="0" borderId="0" xfId="0" applyFont="1" applyAlignment="1" applyProtection="1">
      <alignment horizontal="right" vertical="center"/>
      <protection locked="0"/>
    </xf>
    <xf numFmtId="2" fontId="0" fillId="0" borderId="2" xfId="0" applyNumberFormat="1" applyBorder="1"/>
    <xf numFmtId="0" fontId="8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vertical="center"/>
      <protection locked="0"/>
    </xf>
    <xf numFmtId="4" fontId="5" fillId="2" borderId="33" xfId="0" applyNumberFormat="1" applyFont="1" applyFill="1" applyBorder="1" applyAlignment="1">
      <alignment vertical="center"/>
    </xf>
    <xf numFmtId="4" fontId="5" fillId="2" borderId="42" xfId="0" applyNumberFormat="1" applyFont="1" applyFill="1" applyBorder="1" applyAlignment="1">
      <alignment vertical="center"/>
    </xf>
    <xf numFmtId="4" fontId="35" fillId="2" borderId="14" xfId="0" applyNumberFormat="1" applyFont="1" applyFill="1" applyBorder="1" applyAlignment="1">
      <alignment horizontal="right" vertical="center"/>
    </xf>
    <xf numFmtId="4" fontId="5" fillId="2" borderId="41" xfId="0" applyNumberFormat="1" applyFont="1" applyFill="1" applyBorder="1" applyAlignment="1">
      <alignment vertical="center"/>
    </xf>
    <xf numFmtId="4" fontId="5" fillId="2" borderId="43" xfId="0" applyNumberFormat="1" applyFont="1" applyFill="1" applyBorder="1" applyAlignment="1">
      <alignment vertical="center"/>
    </xf>
    <xf numFmtId="0" fontId="36" fillId="0" borderId="0" xfId="0" applyFont="1" applyAlignment="1" applyProtection="1">
      <alignment horizontal="right" vertical="center"/>
      <protection locked="0"/>
    </xf>
    <xf numFmtId="0" fontId="13" fillId="0" borderId="0" xfId="0" applyFont="1" applyAlignment="1">
      <alignment vertical="center"/>
    </xf>
    <xf numFmtId="4" fontId="3" fillId="0" borderId="56" xfId="0" applyNumberFormat="1" applyFont="1" applyBorder="1" applyAlignment="1" applyProtection="1">
      <alignment horizontal="center" vertical="center"/>
      <protection locked="0"/>
    </xf>
    <xf numFmtId="4" fontId="3" fillId="0" borderId="57" xfId="0" applyNumberFormat="1" applyFont="1" applyBorder="1" applyAlignment="1" applyProtection="1">
      <alignment horizontal="center" vertical="center"/>
      <protection locked="0"/>
    </xf>
    <xf numFmtId="4" fontId="3" fillId="0" borderId="58" xfId="0" applyNumberFormat="1" applyFont="1" applyBorder="1" applyAlignment="1" applyProtection="1">
      <alignment horizontal="center" vertical="center"/>
      <protection locked="0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58" xfId="0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4" fontId="5" fillId="2" borderId="33" xfId="0" applyNumberFormat="1" applyFont="1" applyFill="1" applyBorder="1" applyAlignment="1">
      <alignment horizontal="right" vertical="center"/>
    </xf>
    <xf numFmtId="4" fontId="5" fillId="2" borderId="42" xfId="0" applyNumberFormat="1" applyFont="1" applyFill="1" applyBorder="1" applyAlignment="1">
      <alignment horizontal="right" vertical="center"/>
    </xf>
    <xf numFmtId="4" fontId="30" fillId="0" borderId="0" xfId="0" applyNumberFormat="1" applyFont="1" applyAlignment="1" applyProtection="1">
      <alignment horizontal="left" vertical="center"/>
      <protection locked="0"/>
    </xf>
    <xf numFmtId="4" fontId="30" fillId="0" borderId="0" xfId="0" applyNumberFormat="1" applyFont="1" applyAlignment="1" applyProtection="1">
      <alignment vertical="center"/>
      <protection locked="0"/>
    </xf>
    <xf numFmtId="4" fontId="5" fillId="2" borderId="41" xfId="0" applyNumberFormat="1" applyFont="1" applyFill="1" applyBorder="1" applyAlignment="1">
      <alignment horizontal="right" vertical="center"/>
    </xf>
    <xf numFmtId="4" fontId="5" fillId="2" borderId="43" xfId="0" applyNumberFormat="1" applyFont="1" applyFill="1" applyBorder="1" applyAlignment="1">
      <alignment horizontal="right" vertical="center"/>
    </xf>
    <xf numFmtId="4" fontId="31" fillId="0" borderId="0" xfId="0" applyNumberFormat="1" applyFont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18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4" fontId="14" fillId="0" borderId="0" xfId="0" applyNumberFormat="1" applyFont="1" applyAlignment="1" applyProtection="1">
      <alignment horizontal="center" vertical="distributed"/>
      <protection locked="0"/>
    </xf>
    <xf numFmtId="0" fontId="21" fillId="0" borderId="8" xfId="0" applyFont="1" applyBorder="1" applyAlignment="1" applyProtection="1">
      <alignment horizontal="center"/>
      <protection locked="0"/>
    </xf>
    <xf numFmtId="0" fontId="21" fillId="0" borderId="9" xfId="0" applyFont="1" applyBorder="1" applyAlignment="1" applyProtection="1">
      <alignment horizontal="center"/>
      <protection locked="0"/>
    </xf>
    <xf numFmtId="0" fontId="21" fillId="0" borderId="10" xfId="0" applyFont="1" applyBorder="1" applyAlignment="1" applyProtection="1">
      <alignment horizontal="center"/>
      <protection locked="0"/>
    </xf>
    <xf numFmtId="4" fontId="39" fillId="2" borderId="6" xfId="0" applyNumberFormat="1" applyFont="1" applyFill="1" applyBorder="1" applyAlignment="1">
      <alignment horizontal="right" vertical="center"/>
    </xf>
    <xf numFmtId="4" fontId="39" fillId="0" borderId="12" xfId="0" applyNumberFormat="1" applyFont="1" applyBorder="1" applyAlignment="1" applyProtection="1">
      <alignment horizontal="right" vertical="center"/>
      <protection locked="0"/>
    </xf>
    <xf numFmtId="4" fontId="39" fillId="2" borderId="14" xfId="0" applyNumberFormat="1" applyFont="1" applyFill="1" applyBorder="1" applyAlignment="1">
      <alignment horizontal="right" vertical="center"/>
    </xf>
    <xf numFmtId="4" fontId="39" fillId="2" borderId="20" xfId="0" applyNumberFormat="1" applyFont="1" applyFill="1" applyBorder="1" applyAlignment="1">
      <alignment horizontal="center" vertical="center"/>
    </xf>
    <xf numFmtId="4" fontId="39" fillId="0" borderId="20" xfId="0" applyNumberFormat="1" applyFont="1" applyBorder="1" applyAlignment="1" applyProtection="1">
      <alignment horizontal="right" vertical="center"/>
      <protection locked="0"/>
    </xf>
    <xf numFmtId="4" fontId="39" fillId="2" borderId="20" xfId="0" applyNumberFormat="1" applyFont="1" applyFill="1" applyBorder="1" applyAlignment="1">
      <alignment horizontal="right" vertical="center"/>
    </xf>
    <xf numFmtId="0" fontId="39" fillId="3" borderId="20" xfId="0" applyFont="1" applyFill="1" applyBorder="1" applyAlignment="1" applyProtection="1">
      <alignment horizontal="right"/>
      <protection locked="0"/>
    </xf>
    <xf numFmtId="0" fontId="40" fillId="0" borderId="1" xfId="0" applyFont="1" applyBorder="1" applyAlignment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4"/>
  <sheetViews>
    <sheetView tabSelected="1" workbookViewId="0">
      <pane ySplit="1" topLeftCell="A2" activePane="bottomLeft" state="frozen"/>
      <selection pane="bottomLeft" activeCell="C200" sqref="C200"/>
    </sheetView>
  </sheetViews>
  <sheetFormatPr defaultRowHeight="15" x14ac:dyDescent="0.25"/>
  <cols>
    <col min="1" max="1" width="7.42578125" customWidth="1"/>
    <col min="2" max="2" width="17" customWidth="1"/>
    <col min="3" max="19" width="13.5703125" customWidth="1"/>
    <col min="20" max="20" width="15.140625" customWidth="1"/>
    <col min="21" max="21" width="17.85546875" customWidth="1"/>
    <col min="22" max="22" width="16" customWidth="1"/>
  </cols>
  <sheetData>
    <row r="1" spans="1:26" ht="16.5" thickBot="1" x14ac:dyDescent="0.3">
      <c r="A1" s="1"/>
      <c r="B1" s="2"/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5" t="s">
        <v>9</v>
      </c>
      <c r="M1" s="6" t="s">
        <v>10</v>
      </c>
      <c r="N1" s="7" t="s">
        <v>11</v>
      </c>
      <c r="O1" s="7" t="s">
        <v>12</v>
      </c>
      <c r="P1" s="7" t="s">
        <v>13</v>
      </c>
      <c r="Q1" s="7"/>
      <c r="R1" s="7"/>
      <c r="S1" s="8"/>
      <c r="T1" s="9" t="s">
        <v>14</v>
      </c>
      <c r="U1" s="9" t="s">
        <v>15</v>
      </c>
      <c r="V1" s="9" t="s">
        <v>16</v>
      </c>
      <c r="W1" s="10"/>
      <c r="X1" s="11"/>
      <c r="Y1" s="1"/>
      <c r="Z1" s="1"/>
    </row>
    <row r="2" spans="1:26" ht="16.5" thickBot="1" x14ac:dyDescent="0.3">
      <c r="A2" s="1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5"/>
      <c r="N2" s="15"/>
      <c r="O2" s="15"/>
      <c r="P2" s="15"/>
      <c r="Q2" s="15"/>
      <c r="R2" s="15"/>
      <c r="S2" s="16"/>
      <c r="T2" s="17"/>
      <c r="U2" s="17"/>
      <c r="V2" s="17"/>
      <c r="W2" s="18"/>
      <c r="X2" s="19"/>
      <c r="Y2" s="1"/>
      <c r="Z2" s="1"/>
    </row>
    <row r="3" spans="1:26" ht="16.5" thickBot="1" x14ac:dyDescent="0.3">
      <c r="A3" s="1"/>
      <c r="B3" s="2"/>
      <c r="C3" s="20"/>
      <c r="D3" s="20"/>
      <c r="E3" s="20"/>
      <c r="F3" s="20"/>
      <c r="G3" s="20"/>
      <c r="H3" s="20"/>
      <c r="I3" s="20"/>
      <c r="J3" s="20"/>
      <c r="K3" s="2"/>
      <c r="L3" s="20"/>
      <c r="M3" s="21"/>
      <c r="N3" s="2"/>
      <c r="O3" s="2"/>
      <c r="P3" s="2"/>
      <c r="Q3" s="2"/>
      <c r="R3" s="2"/>
      <c r="S3" s="2"/>
      <c r="T3" s="22"/>
      <c r="U3" s="22"/>
      <c r="V3" s="1"/>
      <c r="W3" s="23"/>
      <c r="X3" s="24"/>
      <c r="Y3" s="1"/>
      <c r="Z3" s="1"/>
    </row>
    <row r="4" spans="1:26" ht="16.5" thickBot="1" x14ac:dyDescent="0.3">
      <c r="A4" s="1"/>
      <c r="B4" s="2"/>
      <c r="C4" s="20"/>
      <c r="D4" s="20"/>
      <c r="E4" s="20"/>
      <c r="F4" s="20"/>
      <c r="G4" s="20"/>
      <c r="H4" s="20"/>
      <c r="I4" s="20"/>
      <c r="J4" s="25"/>
      <c r="K4" s="25"/>
      <c r="L4" s="20"/>
      <c r="M4" s="21"/>
      <c r="N4" s="2"/>
      <c r="O4" s="2"/>
      <c r="P4" s="2"/>
      <c r="Q4" s="2"/>
      <c r="R4" s="2"/>
      <c r="S4" s="2"/>
      <c r="T4" s="1"/>
      <c r="U4" s="26"/>
      <c r="V4" s="1"/>
      <c r="W4" s="27"/>
      <c r="X4" s="2"/>
      <c r="Y4" s="1"/>
      <c r="Z4" s="1"/>
    </row>
    <row r="5" spans="1:26" ht="15.75" x14ac:dyDescent="0.25">
      <c r="A5" s="1"/>
      <c r="B5" s="2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 spans="1:26" ht="16.5" thickBot="1" x14ac:dyDescent="0.3">
      <c r="A6" s="29"/>
      <c r="B6" s="30"/>
      <c r="C6" s="31"/>
      <c r="D6" s="31"/>
      <c r="E6" s="32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"/>
      <c r="U6" s="1"/>
      <c r="V6" s="2"/>
      <c r="W6" s="1"/>
      <c r="X6" s="1"/>
      <c r="Y6" s="1"/>
      <c r="Z6" s="1"/>
    </row>
    <row r="7" spans="1:26" ht="23.25" x14ac:dyDescent="0.35">
      <c r="A7" s="1"/>
      <c r="B7" s="20"/>
      <c r="C7" s="297" t="s">
        <v>17</v>
      </c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9"/>
      <c r="T7" s="33"/>
      <c r="U7" s="33"/>
      <c r="V7" s="2"/>
      <c r="W7" s="2"/>
      <c r="X7" s="1"/>
      <c r="Y7" s="1"/>
      <c r="Z7" s="1"/>
    </row>
    <row r="8" spans="1:26" ht="15.75" x14ac:dyDescent="0.25">
      <c r="A8" s="1"/>
      <c r="B8" s="34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7"/>
      <c r="T8" s="38"/>
      <c r="U8" s="1"/>
      <c r="V8" s="2"/>
      <c r="W8" s="2"/>
      <c r="X8" s="1"/>
      <c r="Y8" s="1"/>
      <c r="Z8" s="1"/>
    </row>
    <row r="9" spans="1:26" ht="15.75" x14ac:dyDescent="0.25">
      <c r="A9" s="1"/>
      <c r="B9" s="34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7"/>
      <c r="T9" s="38"/>
      <c r="U9" s="1"/>
      <c r="V9" s="2"/>
      <c r="W9" s="2"/>
      <c r="X9" s="1"/>
      <c r="Y9" s="1"/>
      <c r="Z9" s="1"/>
    </row>
    <row r="10" spans="1:26" x14ac:dyDescent="0.25">
      <c r="A10" s="1"/>
      <c r="B10" s="34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7"/>
      <c r="T10" s="38"/>
      <c r="U10" s="1"/>
      <c r="V10" s="1"/>
      <c r="W10" s="1"/>
      <c r="X10" s="1"/>
      <c r="Y10" s="1"/>
      <c r="Z10" s="1"/>
    </row>
    <row r="11" spans="1:26" x14ac:dyDescent="0.25">
      <c r="A11" s="1"/>
      <c r="B11" s="34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7"/>
      <c r="T11" s="38"/>
      <c r="U11" s="1"/>
      <c r="V11" s="1"/>
      <c r="W11" s="1"/>
      <c r="X11" s="1"/>
      <c r="Y11" s="1"/>
      <c r="Z11" s="1"/>
    </row>
    <row r="12" spans="1:26" x14ac:dyDescent="0.25">
      <c r="A12" s="1"/>
      <c r="B12" s="34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7"/>
      <c r="T12" s="38"/>
      <c r="U12" s="1"/>
      <c r="V12" s="1"/>
      <c r="W12" s="1"/>
      <c r="X12" s="1"/>
      <c r="Y12" s="1"/>
      <c r="Z12" s="1"/>
    </row>
    <row r="13" spans="1:26" ht="15.75" x14ac:dyDescent="0.25">
      <c r="A13" s="1"/>
      <c r="B13" s="34"/>
      <c r="C13" s="35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7"/>
      <c r="T13" s="38"/>
      <c r="U13" s="2"/>
      <c r="V13" s="1"/>
      <c r="W13" s="1"/>
      <c r="X13" s="1"/>
      <c r="Y13" s="1"/>
      <c r="Z13" s="1"/>
    </row>
    <row r="14" spans="1:26" ht="15.75" x14ac:dyDescent="0.25">
      <c r="A14" s="1"/>
      <c r="B14" s="34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7"/>
      <c r="T14" s="38"/>
      <c r="U14" s="2"/>
      <c r="V14" s="1"/>
      <c r="W14" s="1"/>
      <c r="X14" s="1"/>
      <c r="Y14" s="1"/>
      <c r="Z14" s="1"/>
    </row>
    <row r="15" spans="1:26" ht="15.75" x14ac:dyDescent="0.25">
      <c r="A15" s="1"/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7"/>
      <c r="T15" s="38"/>
      <c r="U15" s="2"/>
      <c r="V15" s="1"/>
      <c r="W15" s="1"/>
      <c r="X15" s="1"/>
      <c r="Y15" s="1"/>
      <c r="Z15" s="1"/>
    </row>
    <row r="16" spans="1:26" ht="15.75" x14ac:dyDescent="0.25">
      <c r="A16" s="1"/>
      <c r="B16" s="34"/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7"/>
      <c r="T16" s="38"/>
      <c r="U16" s="2"/>
      <c r="V16" s="1"/>
      <c r="W16" s="1"/>
      <c r="X16" s="1"/>
      <c r="Y16" s="1"/>
      <c r="Z16" s="1"/>
    </row>
    <row r="17" spans="1:26" ht="15.75" x14ac:dyDescent="0.25">
      <c r="A17" s="1"/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7"/>
      <c r="T17" s="38"/>
      <c r="U17" s="2"/>
      <c r="V17" s="1"/>
      <c r="W17" s="1"/>
      <c r="X17" s="1"/>
      <c r="Y17" s="1"/>
      <c r="Z17" s="1"/>
    </row>
    <row r="18" spans="1:26" ht="15.75" x14ac:dyDescent="0.25">
      <c r="A18" s="1"/>
      <c r="B18" s="34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7"/>
      <c r="T18" s="38"/>
      <c r="U18" s="2"/>
      <c r="V18" s="1"/>
      <c r="W18" s="1"/>
      <c r="X18" s="1"/>
      <c r="Y18" s="1"/>
      <c r="Z18" s="1"/>
    </row>
    <row r="19" spans="1:26" ht="15.75" x14ac:dyDescent="0.25">
      <c r="A19" s="1"/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7"/>
      <c r="T19" s="38"/>
      <c r="U19" s="2"/>
      <c r="V19" s="1"/>
      <c r="W19" s="1"/>
      <c r="X19" s="1"/>
      <c r="Y19" s="1"/>
      <c r="Z19" s="1"/>
    </row>
    <row r="20" spans="1:26" ht="15.75" x14ac:dyDescent="0.25">
      <c r="A20" s="1"/>
      <c r="B20" s="34"/>
      <c r="C20" s="3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7"/>
      <c r="T20" s="38"/>
      <c r="U20" s="2"/>
      <c r="V20" s="1"/>
      <c r="W20" s="1"/>
      <c r="X20" s="1"/>
      <c r="Y20" s="1"/>
      <c r="Z20" s="1"/>
    </row>
    <row r="21" spans="1:26" ht="15.75" x14ac:dyDescent="0.25">
      <c r="A21" s="1"/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7"/>
      <c r="T21" s="38"/>
      <c r="U21" s="2"/>
      <c r="V21" s="1"/>
      <c r="W21" s="1"/>
      <c r="X21" s="1"/>
      <c r="Y21" s="1"/>
      <c r="Z21" s="1"/>
    </row>
    <row r="22" spans="1:26" ht="16.5" thickBot="1" x14ac:dyDescent="0.3">
      <c r="A22" s="1"/>
      <c r="B22" s="34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1"/>
      <c r="T22" s="2"/>
      <c r="U22" s="2"/>
      <c r="V22" s="1"/>
      <c r="W22" s="1"/>
      <c r="X22" s="1"/>
      <c r="Y22" s="1"/>
      <c r="Z22" s="1"/>
    </row>
    <row r="23" spans="1:26" ht="15.75" x14ac:dyDescent="0.25">
      <c r="A23" s="29" t="s">
        <v>18</v>
      </c>
      <c r="B23" s="42">
        <v>1</v>
      </c>
      <c r="C23" s="43">
        <f t="shared" ref="C23:S23" si="0">SUM(C8:C22)</f>
      </c>
      <c r="D23" s="44">
        <f t="shared" si="0"/>
      </c>
      <c r="E23" s="44">
        <f t="shared" si="0"/>
      </c>
      <c r="F23" s="44">
        <f t="shared" si="0"/>
      </c>
      <c r="G23" s="44">
        <f t="shared" si="0"/>
      </c>
      <c r="H23" s="44">
        <f t="shared" si="0"/>
      </c>
      <c r="I23" s="44">
        <f t="shared" si="0"/>
      </c>
      <c r="J23" s="44">
        <f t="shared" si="0"/>
      </c>
      <c r="K23" s="44">
        <f t="shared" si="0"/>
      </c>
      <c r="L23" s="44">
        <f t="shared" si="0"/>
      </c>
      <c r="M23" s="44">
        <f t="shared" si="0"/>
      </c>
      <c r="N23" s="44">
        <f t="shared" si="0"/>
      </c>
      <c r="O23" s="44">
        <f t="shared" si="0"/>
      </c>
      <c r="P23" s="44">
        <f t="shared" si="0"/>
      </c>
      <c r="Q23" s="44">
        <f t="shared" si="0"/>
      </c>
      <c r="R23" s="44">
        <f t="shared" si="0"/>
      </c>
      <c r="S23" s="45">
        <f t="shared" si="0"/>
      </c>
      <c r="T23" s="2"/>
      <c r="U23" s="2"/>
      <c r="V23" s="1"/>
      <c r="W23" s="1"/>
      <c r="X23" s="1"/>
      <c r="Y23" s="1"/>
      <c r="Z23" s="1"/>
    </row>
    <row r="24" spans="1:26" ht="15.75" x14ac:dyDescent="0.25">
      <c r="A24" s="29" t="s">
        <v>18</v>
      </c>
      <c r="B24" s="46">
        <v>0.5</v>
      </c>
      <c r="C24" s="47">
        <f t="shared" ref="C24:S24" si="1">C23*$B24</f>
      </c>
      <c r="D24" s="48">
        <f t="shared" si="1"/>
      </c>
      <c r="E24" s="48">
        <f t="shared" si="1"/>
      </c>
      <c r="F24" s="48">
        <f t="shared" si="1"/>
      </c>
      <c r="G24" s="48">
        <f t="shared" si="1"/>
      </c>
      <c r="H24" s="48">
        <f t="shared" si="1"/>
      </c>
      <c r="I24" s="48">
        <f t="shared" si="1"/>
      </c>
      <c r="J24" s="48">
        <f t="shared" si="1"/>
      </c>
      <c r="K24" s="48">
        <f t="shared" si="1"/>
      </c>
      <c r="L24" s="48">
        <f t="shared" si="1"/>
      </c>
      <c r="M24" s="48">
        <f t="shared" si="1"/>
      </c>
      <c r="N24" s="48">
        <f t="shared" si="1"/>
      </c>
      <c r="O24" s="48">
        <f t="shared" si="1"/>
      </c>
      <c r="P24" s="48">
        <f t="shared" si="1"/>
      </c>
      <c r="Q24" s="48">
        <f t="shared" si="1"/>
      </c>
      <c r="R24" s="48">
        <f t="shared" si="1"/>
      </c>
      <c r="S24" s="49">
        <f t="shared" si="1"/>
      </c>
      <c r="T24" s="2"/>
      <c r="U24" s="2"/>
      <c r="V24" s="1"/>
      <c r="W24" s="1"/>
      <c r="X24" s="1"/>
      <c r="Y24" s="1"/>
      <c r="Z24" s="1"/>
    </row>
    <row r="25" spans="1:26" ht="16.5" thickBot="1" x14ac:dyDescent="0.3">
      <c r="A25" s="29" t="s">
        <v>18</v>
      </c>
      <c r="B25" s="50">
        <v>0.5</v>
      </c>
      <c r="C25" s="51">
        <f t="shared" ref="C25:S25" si="2">C23*$B25</f>
      </c>
      <c r="D25" s="52">
        <f t="shared" si="2"/>
      </c>
      <c r="E25" s="52">
        <f t="shared" si="2"/>
      </c>
      <c r="F25" s="52">
        <f t="shared" si="2"/>
      </c>
      <c r="G25" s="52">
        <f t="shared" si="2"/>
      </c>
      <c r="H25" s="52">
        <f t="shared" si="2"/>
      </c>
      <c r="I25" s="52">
        <f t="shared" si="2"/>
      </c>
      <c r="J25" s="52">
        <f t="shared" si="2"/>
      </c>
      <c r="K25" s="52">
        <f t="shared" si="2"/>
      </c>
      <c r="L25" s="52">
        <f t="shared" si="2"/>
      </c>
      <c r="M25" s="52">
        <f t="shared" si="2"/>
      </c>
      <c r="N25" s="52">
        <f t="shared" si="2"/>
      </c>
      <c r="O25" s="52">
        <f t="shared" si="2"/>
      </c>
      <c r="P25" s="52">
        <f t="shared" si="2"/>
      </c>
      <c r="Q25" s="52">
        <f t="shared" si="2"/>
      </c>
      <c r="R25" s="52">
        <f t="shared" si="2"/>
      </c>
      <c r="S25" s="53">
        <f t="shared" si="2"/>
      </c>
      <c r="T25" s="2"/>
      <c r="U25" s="1"/>
      <c r="V25" s="2"/>
      <c r="W25" s="1"/>
      <c r="X25" s="1"/>
      <c r="Y25" s="1"/>
      <c r="Z25" s="1"/>
    </row>
    <row r="26" spans="1:26" ht="16.5" thickBot="1" x14ac:dyDescent="0.3">
      <c r="A26" s="1"/>
      <c r="B26" s="2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"/>
      <c r="O26" s="2"/>
      <c r="P26" s="2"/>
      <c r="Q26" s="2"/>
      <c r="R26" s="2"/>
      <c r="S26" s="2"/>
      <c r="T26" s="2"/>
      <c r="U26" s="2"/>
      <c r="V26" s="2"/>
      <c r="W26" s="1"/>
      <c r="X26" s="1"/>
      <c r="Y26" s="1"/>
      <c r="Z26" s="1"/>
    </row>
    <row r="27" spans="1:26" ht="23.25" x14ac:dyDescent="0.35">
      <c r="A27" s="1"/>
      <c r="B27" s="20"/>
      <c r="C27" s="297" t="s">
        <v>19</v>
      </c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9"/>
      <c r="T27" s="33"/>
      <c r="U27" s="33"/>
      <c r="V27" s="2"/>
      <c r="W27" s="2"/>
      <c r="X27" s="1"/>
      <c r="Y27" s="1"/>
      <c r="Z27" s="1"/>
    </row>
    <row r="28" spans="1:26" ht="15.75" x14ac:dyDescent="0.25">
      <c r="A28" s="1"/>
      <c r="B28" s="34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7"/>
      <c r="T28" s="38"/>
      <c r="U28" s="1"/>
      <c r="V28" s="2"/>
      <c r="W28" s="2"/>
      <c r="X28" s="1"/>
      <c r="Y28" s="1"/>
      <c r="Z28" s="1"/>
    </row>
    <row r="29" spans="1:26" ht="15.75" x14ac:dyDescent="0.25">
      <c r="A29" s="1"/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7"/>
      <c r="T29" s="38"/>
      <c r="U29" s="1"/>
      <c r="V29" s="2"/>
      <c r="W29" s="2"/>
      <c r="X29" s="1"/>
      <c r="Y29" s="1"/>
      <c r="Z29" s="1"/>
    </row>
    <row r="30" spans="1:26" ht="15.75" x14ac:dyDescent="0.25">
      <c r="A30" s="1"/>
      <c r="B30" s="34"/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7"/>
      <c r="T30" s="38"/>
      <c r="U30" s="1"/>
      <c r="V30" s="2"/>
      <c r="W30" s="2"/>
      <c r="X30" s="1"/>
      <c r="Y30" s="1"/>
      <c r="Z30" s="1"/>
    </row>
    <row r="31" spans="1:26" ht="15.75" x14ac:dyDescent="0.25">
      <c r="A31" s="1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7"/>
      <c r="T31" s="38"/>
      <c r="U31" s="1"/>
      <c r="V31" s="2"/>
      <c r="W31" s="2"/>
      <c r="X31" s="1"/>
      <c r="Y31" s="1"/>
      <c r="Z31" s="1"/>
    </row>
    <row r="32" spans="1:26" ht="15.75" x14ac:dyDescent="0.25">
      <c r="A32" s="1"/>
      <c r="B32" s="34"/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7"/>
      <c r="T32" s="38"/>
      <c r="U32" s="1"/>
      <c r="V32" s="2"/>
      <c r="W32" s="2"/>
      <c r="X32" s="1"/>
      <c r="Y32" s="1"/>
      <c r="Z32" s="1"/>
    </row>
    <row r="33" spans="1:26" ht="15.75" x14ac:dyDescent="0.25">
      <c r="A33" s="1"/>
      <c r="B33" s="34"/>
      <c r="C33" s="35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8"/>
      <c r="U33" s="1"/>
      <c r="V33" s="2"/>
      <c r="W33" s="2"/>
      <c r="X33" s="1"/>
      <c r="Y33" s="1"/>
      <c r="Z33" s="1"/>
    </row>
    <row r="34" spans="1:26" ht="15.75" x14ac:dyDescent="0.25">
      <c r="A34" s="1"/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7"/>
      <c r="T34" s="38"/>
      <c r="U34" s="1"/>
      <c r="V34" s="2"/>
      <c r="W34" s="2"/>
      <c r="X34" s="1"/>
      <c r="Y34" s="1"/>
      <c r="Z34" s="1"/>
    </row>
    <row r="35" spans="1:26" ht="15.75" x14ac:dyDescent="0.25">
      <c r="A35" s="1"/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7"/>
      <c r="T35" s="38"/>
      <c r="U35" s="1"/>
      <c r="V35" s="2"/>
      <c r="W35" s="2"/>
      <c r="X35" s="1"/>
      <c r="Y35" s="1"/>
      <c r="Z35" s="1"/>
    </row>
    <row r="36" spans="1:26" ht="15.75" x14ac:dyDescent="0.25">
      <c r="A36" s="1"/>
      <c r="B36" s="34"/>
      <c r="C36" s="35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7"/>
      <c r="T36" s="38"/>
      <c r="U36" s="1"/>
      <c r="V36" s="2"/>
      <c r="W36" s="2"/>
      <c r="X36" s="1"/>
      <c r="Y36" s="1"/>
      <c r="Z36" s="1"/>
    </row>
    <row r="37" spans="1:26" ht="15.75" x14ac:dyDescent="0.25">
      <c r="A37" s="1"/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7"/>
      <c r="T37" s="38"/>
      <c r="U37" s="1"/>
      <c r="V37" s="2"/>
      <c r="W37" s="2"/>
      <c r="X37" s="1"/>
      <c r="Y37" s="1"/>
      <c r="Z37" s="1"/>
    </row>
    <row r="38" spans="1:26" ht="15.75" x14ac:dyDescent="0.25">
      <c r="A38" s="1"/>
      <c r="B38" s="34"/>
      <c r="C38" s="3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7"/>
      <c r="T38" s="38"/>
      <c r="U38" s="1"/>
      <c r="V38" s="2"/>
      <c r="W38" s="2"/>
      <c r="X38" s="1"/>
      <c r="Y38" s="1"/>
      <c r="Z38" s="1"/>
    </row>
    <row r="39" spans="1:26" ht="15.75" x14ac:dyDescent="0.25">
      <c r="A39" s="1"/>
      <c r="B39" s="34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7"/>
      <c r="T39" s="38"/>
      <c r="U39" s="1"/>
      <c r="V39" s="2"/>
      <c r="W39" s="2"/>
      <c r="X39" s="1"/>
      <c r="Y39" s="1"/>
      <c r="Z39" s="1"/>
    </row>
    <row r="40" spans="1:26" ht="15.75" x14ac:dyDescent="0.25">
      <c r="A40" s="1"/>
      <c r="B40" s="34"/>
      <c r="C40" s="35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7"/>
      <c r="T40" s="38"/>
      <c r="U40" s="1"/>
      <c r="V40" s="2"/>
      <c r="W40" s="2"/>
      <c r="X40" s="1"/>
      <c r="Y40" s="1"/>
      <c r="Z40" s="1"/>
    </row>
    <row r="41" spans="1:26" ht="15.75" x14ac:dyDescent="0.25">
      <c r="A41" s="1"/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7"/>
      <c r="T41" s="38"/>
      <c r="U41" s="1"/>
      <c r="V41" s="2"/>
      <c r="W41" s="2"/>
      <c r="X41" s="1"/>
      <c r="Y41" s="1"/>
      <c r="Z41" s="1"/>
    </row>
    <row r="42" spans="1:26" ht="15.75" x14ac:dyDescent="0.25">
      <c r="A42" s="1"/>
      <c r="B42" s="34"/>
      <c r="C42" s="35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7"/>
      <c r="T42" s="38"/>
      <c r="U42" s="1"/>
      <c r="V42" s="2"/>
      <c r="W42" s="2"/>
      <c r="X42" s="1"/>
      <c r="Y42" s="1"/>
      <c r="Z42" s="1"/>
    </row>
    <row r="43" spans="1:26" ht="15.75" x14ac:dyDescent="0.25">
      <c r="A43" s="1"/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7"/>
      <c r="T43" s="38"/>
      <c r="U43" s="1"/>
      <c r="V43" s="2"/>
      <c r="W43" s="2"/>
      <c r="X43" s="1"/>
      <c r="Y43" s="1"/>
      <c r="Z43" s="1"/>
    </row>
    <row r="44" spans="1:26" ht="15.75" x14ac:dyDescent="0.25">
      <c r="A44" s="1"/>
      <c r="B44" s="34"/>
      <c r="C44" s="35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7"/>
      <c r="T44" s="38"/>
      <c r="U44" s="1"/>
      <c r="V44" s="2"/>
      <c r="W44" s="2"/>
      <c r="X44" s="1"/>
      <c r="Y44" s="1"/>
      <c r="Z44" s="1"/>
    </row>
    <row r="45" spans="1:26" ht="15.75" x14ac:dyDescent="0.25">
      <c r="A45" s="1"/>
      <c r="B45" s="34"/>
      <c r="C45" s="35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7"/>
      <c r="T45" s="38"/>
      <c r="U45" s="1"/>
      <c r="V45" s="2"/>
      <c r="W45" s="2"/>
      <c r="X45" s="1"/>
      <c r="Y45" s="1"/>
      <c r="Z45" s="1"/>
    </row>
    <row r="46" spans="1:26" x14ac:dyDescent="0.25">
      <c r="A46" s="1"/>
      <c r="B46" s="34"/>
      <c r="C46" s="35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7"/>
      <c r="T46" s="38"/>
      <c r="U46" s="1"/>
      <c r="V46" s="1"/>
      <c r="W46" s="1"/>
      <c r="X46" s="1"/>
      <c r="Y46" s="1"/>
      <c r="Z46" s="1"/>
    </row>
    <row r="47" spans="1:26" x14ac:dyDescent="0.25">
      <c r="A47" s="1"/>
      <c r="B47" s="34"/>
      <c r="C47" s="35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7"/>
      <c r="T47" s="38"/>
      <c r="U47" s="1"/>
      <c r="V47" s="1"/>
      <c r="W47" s="1"/>
      <c r="X47" s="1"/>
      <c r="Y47" s="1"/>
      <c r="Z47" s="1"/>
    </row>
    <row r="48" spans="1:26" x14ac:dyDescent="0.25">
      <c r="A48" s="1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7"/>
      <c r="T48" s="38"/>
      <c r="U48" s="1"/>
      <c r="V48" s="1"/>
      <c r="W48" s="1"/>
      <c r="X48" s="1"/>
      <c r="Y48" s="1"/>
      <c r="Z48" s="1"/>
    </row>
    <row r="49" spans="1:26" ht="15.75" x14ac:dyDescent="0.25">
      <c r="A49" s="1"/>
      <c r="B49" s="34"/>
      <c r="C49" s="35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7"/>
      <c r="T49" s="38"/>
      <c r="U49" s="2"/>
      <c r="V49" s="1"/>
      <c r="W49" s="1"/>
      <c r="X49" s="1"/>
      <c r="Y49" s="1"/>
      <c r="Z49" s="1"/>
    </row>
    <row r="50" spans="1:26" ht="15.75" x14ac:dyDescent="0.25">
      <c r="A50" s="1"/>
      <c r="B50" s="34"/>
      <c r="C50" s="35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7"/>
      <c r="T50" s="38"/>
      <c r="U50" s="2"/>
      <c r="V50" s="1"/>
      <c r="W50" s="1"/>
      <c r="X50" s="1"/>
      <c r="Y50" s="1"/>
      <c r="Z50" s="1"/>
    </row>
    <row r="51" spans="1:26" ht="15.75" x14ac:dyDescent="0.25">
      <c r="A51" s="1"/>
      <c r="B51" s="34"/>
      <c r="C51" s="35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7"/>
      <c r="T51" s="38"/>
      <c r="U51" s="2"/>
      <c r="V51" s="1"/>
      <c r="W51" s="1"/>
      <c r="X51" s="1"/>
      <c r="Y51" s="1"/>
      <c r="Z51" s="1"/>
    </row>
    <row r="52" spans="1:26" ht="16.5" thickBot="1" x14ac:dyDescent="0.3">
      <c r="A52" s="1"/>
      <c r="B52" s="34"/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1"/>
      <c r="T52" s="2"/>
      <c r="U52" s="2"/>
      <c r="V52" s="1"/>
      <c r="W52" s="1"/>
      <c r="X52" s="1"/>
      <c r="Y52" s="1"/>
      <c r="Z52" s="1"/>
    </row>
    <row r="53" spans="1:26" ht="15.75" x14ac:dyDescent="0.25">
      <c r="A53" s="29" t="s">
        <v>18</v>
      </c>
      <c r="B53" s="42">
        <v>1</v>
      </c>
      <c r="C53" s="43">
        <f t="shared" ref="C53:S53" si="3">SUM(C28:C52)</f>
      </c>
      <c r="D53" s="44">
        <f t="shared" si="3"/>
      </c>
      <c r="E53" s="44">
        <f t="shared" si="3"/>
      </c>
      <c r="F53" s="44">
        <f t="shared" si="3"/>
      </c>
      <c r="G53" s="44">
        <f t="shared" si="3"/>
      </c>
      <c r="H53" s="44">
        <f t="shared" si="3"/>
      </c>
      <c r="I53" s="44">
        <f t="shared" si="3"/>
      </c>
      <c r="J53" s="44">
        <f t="shared" si="3"/>
      </c>
      <c r="K53" s="44">
        <f t="shared" si="3"/>
      </c>
      <c r="L53" s="44">
        <f t="shared" si="3"/>
      </c>
      <c r="M53" s="44">
        <f t="shared" si="3"/>
      </c>
      <c r="N53" s="44">
        <f t="shared" si="3"/>
      </c>
      <c r="O53" s="44">
        <f t="shared" si="3"/>
      </c>
      <c r="P53" s="44">
        <f t="shared" si="3"/>
      </c>
      <c r="Q53" s="44">
        <f t="shared" si="3"/>
      </c>
      <c r="R53" s="44">
        <f t="shared" si="3"/>
      </c>
      <c r="S53" s="45">
        <f t="shared" si="3"/>
      </c>
      <c r="T53" s="2"/>
      <c r="U53" s="2"/>
      <c r="V53" s="1"/>
      <c r="W53" s="1"/>
      <c r="X53" s="1"/>
      <c r="Y53" s="1"/>
      <c r="Z53" s="1"/>
    </row>
    <row r="54" spans="1:26" ht="15.75" x14ac:dyDescent="0.25">
      <c r="A54" s="29" t="s">
        <v>18</v>
      </c>
      <c r="B54" s="46">
        <v>0.8</v>
      </c>
      <c r="C54" s="47">
        <f t="shared" ref="C54:S54" si="4">C53*$B54</f>
      </c>
      <c r="D54" s="48">
        <f t="shared" si="4"/>
      </c>
      <c r="E54" s="48">
        <f t="shared" si="4"/>
      </c>
      <c r="F54" s="48">
        <f t="shared" si="4"/>
      </c>
      <c r="G54" s="48">
        <f t="shared" si="4"/>
      </c>
      <c r="H54" s="48">
        <f t="shared" si="4"/>
      </c>
      <c r="I54" s="48">
        <f t="shared" si="4"/>
      </c>
      <c r="J54" s="48">
        <f t="shared" si="4"/>
      </c>
      <c r="K54" s="48">
        <f t="shared" si="4"/>
      </c>
      <c r="L54" s="48">
        <f t="shared" si="4"/>
      </c>
      <c r="M54" s="48">
        <f t="shared" si="4"/>
      </c>
      <c r="N54" s="48">
        <f t="shared" si="4"/>
      </c>
      <c r="O54" s="48">
        <f t="shared" si="4"/>
      </c>
      <c r="P54" s="48">
        <f t="shared" si="4"/>
      </c>
      <c r="Q54" s="48">
        <f t="shared" si="4"/>
      </c>
      <c r="R54" s="48">
        <f t="shared" si="4"/>
      </c>
      <c r="S54" s="49">
        <f t="shared" si="4"/>
      </c>
      <c r="T54" s="2"/>
      <c r="U54" s="2"/>
      <c r="V54" s="1"/>
      <c r="W54" s="1"/>
      <c r="X54" s="1"/>
      <c r="Y54" s="1"/>
      <c r="Z54" s="1"/>
    </row>
    <row r="55" spans="1:26" ht="16.5" thickBot="1" x14ac:dyDescent="0.3">
      <c r="A55" s="29" t="s">
        <v>18</v>
      </c>
      <c r="B55" s="50">
        <v>0.2</v>
      </c>
      <c r="C55" s="51">
        <f t="shared" ref="C55:S55" si="5">C53*$B55</f>
      </c>
      <c r="D55" s="52">
        <f t="shared" si="5"/>
      </c>
      <c r="E55" s="52">
        <f t="shared" si="5"/>
      </c>
      <c r="F55" s="52">
        <f t="shared" si="5"/>
      </c>
      <c r="G55" s="52">
        <f t="shared" si="5"/>
      </c>
      <c r="H55" s="52">
        <f t="shared" si="5"/>
      </c>
      <c r="I55" s="52">
        <f t="shared" si="5"/>
      </c>
      <c r="J55" s="52">
        <f t="shared" si="5"/>
      </c>
      <c r="K55" s="52">
        <f t="shared" si="5"/>
      </c>
      <c r="L55" s="52">
        <f t="shared" si="5"/>
      </c>
      <c r="M55" s="52">
        <f t="shared" si="5"/>
      </c>
      <c r="N55" s="52">
        <f t="shared" si="5"/>
      </c>
      <c r="O55" s="52">
        <f t="shared" si="5"/>
      </c>
      <c r="P55" s="52">
        <f t="shared" si="5"/>
      </c>
      <c r="Q55" s="52">
        <f t="shared" si="5"/>
      </c>
      <c r="R55" s="52">
        <f t="shared" si="5"/>
      </c>
      <c r="S55" s="53">
        <f t="shared" si="5"/>
      </c>
      <c r="T55" s="2"/>
      <c r="U55" s="1"/>
      <c r="V55" s="2"/>
      <c r="W55" s="1"/>
      <c r="X55" s="1"/>
      <c r="Y55" s="1"/>
      <c r="Z55" s="1"/>
    </row>
    <row r="56" spans="1:26" ht="15.75" x14ac:dyDescent="0.25">
      <c r="A56" s="1"/>
      <c r="B56" s="34"/>
      <c r="C56" s="20"/>
      <c r="D56" s="20"/>
      <c r="E56" s="20"/>
      <c r="F56" s="20"/>
      <c r="G56" s="20"/>
      <c r="H56" s="34"/>
      <c r="I56" s="20"/>
      <c r="J56" s="20"/>
      <c r="K56" s="20"/>
      <c r="L56" s="20"/>
      <c r="M56" s="2"/>
      <c r="N56" s="2"/>
      <c r="O56" s="2"/>
      <c r="P56" s="34"/>
      <c r="Q56" s="2"/>
      <c r="R56" s="2"/>
      <c r="S56" s="2"/>
      <c r="T56" s="2"/>
      <c r="U56" s="2"/>
      <c r="V56" s="2"/>
      <c r="W56" s="2"/>
      <c r="X56" s="1"/>
      <c r="Y56" s="1"/>
      <c r="Z56" s="1"/>
    </row>
    <row r="57" spans="1:26" ht="18" x14ac:dyDescent="0.25">
      <c r="A57" s="300" t="s">
        <v>20</v>
      </c>
      <c r="B57" s="300"/>
      <c r="C57" s="54">
        <f t="shared" ref="C57:S57" si="6">SUM(C2:C6)+C25+C55</f>
      </c>
      <c r="D57" s="54">
        <f t="shared" si="6"/>
      </c>
      <c r="E57" s="54">
        <f t="shared" si="6"/>
      </c>
      <c r="F57" s="54">
        <f t="shared" si="6"/>
      </c>
      <c r="G57" s="54">
        <f t="shared" si="6"/>
      </c>
      <c r="H57" s="54">
        <f t="shared" si="6"/>
      </c>
      <c r="I57" s="54">
        <f t="shared" si="6"/>
      </c>
      <c r="J57" s="54">
        <f t="shared" si="6"/>
      </c>
      <c r="K57" s="54">
        <f t="shared" si="6"/>
      </c>
      <c r="L57" s="54">
        <f t="shared" si="6"/>
      </c>
      <c r="M57" s="54">
        <f t="shared" si="6"/>
      </c>
      <c r="N57" s="54">
        <f t="shared" si="6"/>
      </c>
      <c r="O57" s="54">
        <f t="shared" si="6"/>
      </c>
      <c r="P57" s="54">
        <f t="shared" si="6"/>
      </c>
      <c r="Q57" s="54">
        <f t="shared" si="6"/>
      </c>
      <c r="R57" s="54">
        <f t="shared" si="6"/>
      </c>
      <c r="S57" s="54">
        <f t="shared" si="6"/>
      </c>
      <c r="T57" s="55"/>
      <c r="U57" s="55"/>
      <c r="V57" s="1"/>
      <c r="W57" s="1"/>
      <c r="X57" s="1"/>
      <c r="Y57" s="1"/>
      <c r="Z57" s="1"/>
    </row>
    <row r="58" spans="1:26" ht="15.75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thickBot="1" x14ac:dyDescent="0.3">
      <c r="A60" s="1"/>
      <c r="B60" s="56" t="s">
        <v>21</v>
      </c>
      <c r="C60" s="57"/>
      <c r="D60" s="57"/>
      <c r="E60" s="58"/>
      <c r="F60" s="56" t="s">
        <v>22</v>
      </c>
      <c r="G60" s="57"/>
      <c r="H60" s="5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59" t="s">
        <v>23</v>
      </c>
      <c r="C61" s="60"/>
      <c r="D61" s="61"/>
      <c r="E61" s="62"/>
      <c r="F61" s="63" t="s">
        <v>24</v>
      </c>
      <c r="G61" s="64"/>
      <c r="H61" s="6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66"/>
      <c r="C62" s="67"/>
      <c r="D62" s="68"/>
      <c r="E62" s="69"/>
      <c r="F62" s="70" t="s">
        <v>25</v>
      </c>
      <c r="G62" s="71"/>
      <c r="H62" s="7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73"/>
      <c r="C63" s="74"/>
      <c r="D63" s="75"/>
      <c r="E63" s="76"/>
      <c r="F63" s="70" t="s">
        <v>26</v>
      </c>
      <c r="G63" s="71"/>
      <c r="H63" s="7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73"/>
      <c r="C64" s="74"/>
      <c r="D64" s="75"/>
      <c r="E64" s="76"/>
      <c r="F64" s="70" t="s">
        <v>27</v>
      </c>
      <c r="G64" s="71"/>
      <c r="H64" s="7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73"/>
      <c r="C65" s="74"/>
      <c r="D65" s="75"/>
      <c r="E65" s="76"/>
      <c r="F65" s="70"/>
      <c r="G65" s="71"/>
      <c r="H65" s="7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x14ac:dyDescent="0.25">
      <c r="A66" s="1"/>
      <c r="B66" s="73"/>
      <c r="C66" s="74"/>
      <c r="D66" s="75"/>
      <c r="E66" s="76"/>
      <c r="F66" s="70"/>
      <c r="G66" s="71"/>
      <c r="H66" s="72"/>
      <c r="I66" s="1"/>
      <c r="J66" s="1"/>
      <c r="K66" s="1"/>
      <c r="L66" s="7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x14ac:dyDescent="0.25">
      <c r="A67" s="1"/>
      <c r="B67" s="73"/>
      <c r="C67" s="74"/>
      <c r="D67" s="75"/>
      <c r="E67" s="76"/>
      <c r="F67" s="70"/>
      <c r="G67" s="71"/>
      <c r="H67" s="72"/>
      <c r="I67" s="1"/>
      <c r="J67" s="1"/>
      <c r="K67" s="1"/>
      <c r="L67" s="7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x14ac:dyDescent="0.25">
      <c r="A68" s="1"/>
      <c r="B68" s="73"/>
      <c r="C68" s="74"/>
      <c r="D68" s="75"/>
      <c r="E68" s="76"/>
      <c r="F68" s="70"/>
      <c r="G68" s="71"/>
      <c r="H68" s="72"/>
      <c r="I68" s="1"/>
      <c r="J68" s="1"/>
      <c r="K68" s="1"/>
      <c r="L68" s="7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x14ac:dyDescent="0.25">
      <c r="A69" s="1"/>
      <c r="B69" s="73"/>
      <c r="C69" s="74"/>
      <c r="D69" s="75"/>
      <c r="E69" s="76"/>
      <c r="F69" s="70"/>
      <c r="G69" s="71"/>
      <c r="H69" s="72"/>
      <c r="I69" s="1"/>
      <c r="J69" s="1"/>
      <c r="K69" s="1"/>
      <c r="L69" s="7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x14ac:dyDescent="0.25">
      <c r="A70" s="1"/>
      <c r="B70" s="73"/>
      <c r="C70" s="74"/>
      <c r="D70" s="75"/>
      <c r="E70" s="76"/>
      <c r="F70" s="70"/>
      <c r="G70" s="71"/>
      <c r="H70" s="72"/>
      <c r="I70" s="1"/>
      <c r="J70" s="1"/>
      <c r="K70" s="1"/>
      <c r="L70" s="7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25">
      <c r="A71" s="1"/>
      <c r="B71" s="73"/>
      <c r="C71" s="74"/>
      <c r="D71" s="75"/>
      <c r="E71" s="76"/>
      <c r="F71" s="70"/>
      <c r="G71" s="71"/>
      <c r="H71" s="72"/>
      <c r="I71" s="1"/>
      <c r="J71" s="1"/>
      <c r="K71" s="1"/>
      <c r="L71" s="7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25">
      <c r="A72" s="1"/>
      <c r="B72" s="73"/>
      <c r="C72" s="74"/>
      <c r="D72" s="75"/>
      <c r="E72" s="76"/>
      <c r="F72" s="70"/>
      <c r="G72" s="71"/>
      <c r="H72" s="72"/>
      <c r="I72" s="1"/>
      <c r="J72" s="1"/>
      <c r="K72" s="1"/>
      <c r="L72" s="7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25">
      <c r="A73" s="1"/>
      <c r="B73" s="73" t="s">
        <v>28</v>
      </c>
      <c r="C73" s="74"/>
      <c r="D73" s="75"/>
      <c r="E73" s="76"/>
      <c r="F73" s="73"/>
      <c r="G73" s="75"/>
      <c r="H73" s="78"/>
      <c r="I73" s="1"/>
      <c r="J73" s="1"/>
      <c r="K73" s="1"/>
      <c r="L73" s="7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73"/>
      <c r="C74" s="74"/>
      <c r="D74" s="75"/>
      <c r="E74" s="76"/>
      <c r="F74" s="79"/>
      <c r="G74" s="1"/>
      <c r="H74" s="80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thickBot="1" x14ac:dyDescent="0.3">
      <c r="A75" s="1"/>
      <c r="B75" s="81" t="s">
        <v>29</v>
      </c>
      <c r="C75" s="82"/>
      <c r="D75" s="83"/>
      <c r="E75" s="84">
        <f>SUM(E61:E74)</f>
      </c>
      <c r="F75" s="85" t="s">
        <v>29</v>
      </c>
      <c r="G75" s="86"/>
      <c r="H75" s="87">
        <f>SUM(H61:H73)</f>
      </c>
      <c r="I75" s="2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thickBot="1" x14ac:dyDescent="0.3">
      <c r="A76" s="1"/>
      <c r="B76" s="75"/>
      <c r="C76" s="74"/>
      <c r="D76" s="75"/>
      <c r="E76" s="88"/>
      <c r="F76" s="89" t="s">
        <v>30</v>
      </c>
      <c r="G76" s="90"/>
      <c r="H76" s="91">
        <f>E75-H75</f>
      </c>
      <c r="I76" s="25"/>
      <c r="J76" s="1"/>
      <c r="K76" s="1"/>
      <c r="L76" s="1"/>
      <c r="M76" s="7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x14ac:dyDescent="0.25">
      <c r="A77" s="1"/>
      <c r="B77" s="2"/>
      <c r="C77" s="92"/>
      <c r="D77" s="92"/>
      <c r="E77" s="92"/>
      <c r="F77" s="92"/>
      <c r="G77" s="93"/>
      <c r="H77" s="25"/>
      <c r="I77" s="25"/>
      <c r="J77" s="1"/>
      <c r="K77" s="1"/>
      <c r="L77" s="1"/>
      <c r="M77" s="7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x14ac:dyDescent="0.25">
      <c r="A78" s="1"/>
      <c r="B78" s="2"/>
      <c r="C78" s="92"/>
      <c r="D78" s="92"/>
      <c r="E78" s="92"/>
      <c r="F78" s="92"/>
      <c r="G78" s="93"/>
      <c r="H78" s="25"/>
      <c r="I78" s="25"/>
      <c r="J78" s="1"/>
      <c r="K78" s="1"/>
      <c r="L78" s="1"/>
      <c r="M78" s="7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1"/>
      <c r="C79" s="1"/>
      <c r="D79" s="1"/>
      <c r="E79" s="1"/>
      <c r="F79" s="1"/>
      <c r="G79" s="1"/>
      <c r="H79" s="1"/>
      <c r="I79" s="94"/>
      <c r="J79" s="94"/>
      <c r="K79" s="1"/>
      <c r="L79" s="95"/>
      <c r="M79" s="95"/>
      <c r="N79" s="95"/>
      <c r="O79" s="95"/>
      <c r="P79" s="95"/>
      <c r="Q79" s="95"/>
      <c r="R79" s="95"/>
      <c r="S79" s="95"/>
      <c r="T79" s="38"/>
      <c r="U79" s="96"/>
      <c r="V79" s="38"/>
      <c r="W79" s="97"/>
      <c r="X79" s="1"/>
      <c r="Y79" s="1"/>
      <c r="Z79" s="1"/>
    </row>
    <row r="80" spans="1:26" ht="15.75" x14ac:dyDescent="0.25">
      <c r="A80" s="1"/>
      <c r="B80" s="1"/>
      <c r="C80" s="1"/>
      <c r="D80" s="1"/>
      <c r="E80" s="1"/>
      <c r="F80" s="1"/>
      <c r="G80" s="1"/>
      <c r="H80" s="1"/>
      <c r="I80" s="94"/>
      <c r="J80" s="94"/>
      <c r="K80" s="1"/>
      <c r="L80" s="95"/>
      <c r="M80" s="95"/>
      <c r="N80" s="95"/>
      <c r="O80" s="95"/>
      <c r="P80" s="95"/>
      <c r="Q80" s="95"/>
      <c r="R80" s="95"/>
      <c r="S80" s="95"/>
      <c r="T80" s="38"/>
      <c r="U80" s="96"/>
      <c r="V80" s="38"/>
      <c r="W80" s="97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thickBot="1" x14ac:dyDescent="0.3">
      <c r="A82" s="1"/>
      <c r="B82" s="98" t="s">
        <v>31</v>
      </c>
      <c r="C82" s="99" t="s">
        <v>32</v>
      </c>
      <c r="D82" s="301" t="s">
        <v>33</v>
      </c>
      <c r="E82" s="302"/>
      <c r="F82" s="303"/>
      <c r="G82" s="1"/>
      <c r="H82" s="98" t="s">
        <v>31</v>
      </c>
      <c r="I82" s="99" t="s">
        <v>32</v>
      </c>
      <c r="J82" s="301" t="s">
        <v>34</v>
      </c>
      <c r="K82" s="302"/>
      <c r="L82" s="30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00"/>
      <c r="C83" s="101"/>
      <c r="D83" s="102"/>
      <c r="E83" s="103" t="s">
        <v>35</v>
      </c>
      <c r="F83" s="104"/>
      <c r="G83" s="1"/>
      <c r="H83" s="100"/>
      <c r="I83" s="101"/>
      <c r="J83" s="102"/>
      <c r="K83" s="103"/>
      <c r="L83" s="10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05"/>
      <c r="C84" s="106"/>
      <c r="D84" s="107"/>
      <c r="E84" s="108" t="s">
        <v>36</v>
      </c>
      <c r="F84" s="109"/>
      <c r="G84" s="1"/>
      <c r="H84" s="105"/>
      <c r="I84" s="106"/>
      <c r="J84" s="107"/>
      <c r="K84" s="108"/>
      <c r="L84" s="10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10"/>
      <c r="C85" s="111"/>
      <c r="D85" s="112"/>
      <c r="E85" s="113" t="s">
        <v>37</v>
      </c>
      <c r="F85" s="114"/>
      <c r="G85" s="1"/>
      <c r="H85" s="110"/>
      <c r="I85" s="111"/>
      <c r="J85" s="112"/>
      <c r="K85" s="113"/>
      <c r="L85" s="11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10"/>
      <c r="C86" s="111"/>
      <c r="D86" s="112"/>
      <c r="E86" s="113" t="s">
        <v>38</v>
      </c>
      <c r="F86" s="114"/>
      <c r="G86" s="1"/>
      <c r="H86" s="110"/>
      <c r="I86" s="111"/>
      <c r="J86" s="112"/>
      <c r="K86" s="113"/>
      <c r="L86" s="11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10"/>
      <c r="C87" s="111"/>
      <c r="D87" s="112"/>
      <c r="E87" s="113" t="s">
        <v>39</v>
      </c>
      <c r="F87" s="114"/>
      <c r="G87" s="1"/>
      <c r="H87" s="110"/>
      <c r="I87" s="111"/>
      <c r="J87" s="112"/>
      <c r="K87" s="113"/>
      <c r="L87" s="11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10"/>
      <c r="C88" s="111"/>
      <c r="D88" s="112"/>
      <c r="E88" s="113" t="s">
        <v>40</v>
      </c>
      <c r="F88" s="114"/>
      <c r="G88" s="1"/>
      <c r="H88" s="110"/>
      <c r="I88" s="111"/>
      <c r="J88" s="112"/>
      <c r="K88" s="113"/>
      <c r="L88" s="11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10"/>
      <c r="C89" s="111"/>
      <c r="D89" s="112"/>
      <c r="E89" s="113" t="s">
        <v>41</v>
      </c>
      <c r="F89" s="114"/>
      <c r="G89" s="1"/>
      <c r="H89" s="110"/>
      <c r="I89" s="111"/>
      <c r="J89" s="112"/>
      <c r="K89" s="113"/>
      <c r="L89" s="1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10"/>
      <c r="C90" s="111"/>
      <c r="D90" s="112"/>
      <c r="E90" s="113" t="s">
        <v>42</v>
      </c>
      <c r="F90" s="114"/>
      <c r="G90" s="1"/>
      <c r="H90" s="110"/>
      <c r="I90" s="111"/>
      <c r="J90" s="112"/>
      <c r="K90" s="113"/>
      <c r="L90" s="1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10"/>
      <c r="C91" s="111"/>
      <c r="D91" s="112"/>
      <c r="E91" s="113" t="s">
        <v>43</v>
      </c>
      <c r="F91" s="114"/>
      <c r="G91" s="1"/>
      <c r="H91" s="110"/>
      <c r="I91" s="111"/>
      <c r="J91" s="112"/>
      <c r="K91" s="113"/>
      <c r="L91" s="11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10"/>
      <c r="C92" s="111"/>
      <c r="D92" s="112"/>
      <c r="E92" s="113" t="s">
        <v>44</v>
      </c>
      <c r="F92" s="114"/>
      <c r="G92" s="1"/>
      <c r="H92" s="110"/>
      <c r="I92" s="111"/>
      <c r="J92" s="112"/>
      <c r="K92" s="113"/>
      <c r="L92" s="11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110"/>
      <c r="C93" s="111"/>
      <c r="D93" s="115"/>
      <c r="E93" s="113" t="s">
        <v>45</v>
      </c>
      <c r="F93" s="114"/>
      <c r="G93" s="1"/>
      <c r="H93" s="110"/>
      <c r="I93" s="111"/>
      <c r="J93" s="112"/>
      <c r="K93" s="113"/>
      <c r="L93" s="11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110"/>
      <c r="C94" s="111"/>
      <c r="D94" s="115"/>
      <c r="E94" s="113" t="s">
        <v>45</v>
      </c>
      <c r="F94" s="114"/>
      <c r="G94" s="1"/>
      <c r="H94" s="110"/>
      <c r="I94" s="111"/>
      <c r="J94" s="112"/>
      <c r="K94" s="113"/>
      <c r="L94" s="114"/>
      <c r="M94" s="1"/>
      <c r="N94" s="1"/>
      <c r="O94" s="1"/>
      <c r="P94" s="1"/>
      <c r="Q94" s="1"/>
      <c r="R94" s="1"/>
      <c r="S94" s="1"/>
      <c r="T94" s="25"/>
      <c r="U94" s="1"/>
      <c r="V94" s="1"/>
      <c r="W94" s="1"/>
      <c r="X94" s="1"/>
      <c r="Y94" s="1"/>
      <c r="Z94" s="1"/>
    </row>
    <row r="95" spans="1:26" x14ac:dyDescent="0.25">
      <c r="A95" s="1"/>
      <c r="B95" s="110"/>
      <c r="C95" s="111"/>
      <c r="D95" s="112"/>
      <c r="E95" s="113" t="s">
        <v>46</v>
      </c>
      <c r="F95" s="114"/>
      <c r="G95" s="1"/>
      <c r="H95" s="110"/>
      <c r="I95" s="111"/>
      <c r="J95" s="112"/>
      <c r="K95" s="113"/>
      <c r="L95" s="11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10"/>
      <c r="C96" s="111"/>
      <c r="D96" s="112"/>
      <c r="E96" s="113" t="s">
        <v>47</v>
      </c>
      <c r="F96" s="114"/>
      <c r="G96" s="1"/>
      <c r="H96" s="110"/>
      <c r="I96" s="111"/>
      <c r="J96" s="112"/>
      <c r="K96" s="113"/>
      <c r="L96" s="11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10"/>
      <c r="C97" s="111"/>
      <c r="D97" s="112"/>
      <c r="E97" s="113" t="s">
        <v>48</v>
      </c>
      <c r="F97" s="114"/>
      <c r="G97" s="1"/>
      <c r="H97" s="110"/>
      <c r="I97" s="111"/>
      <c r="J97" s="112"/>
      <c r="K97" s="113"/>
      <c r="L97" s="11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10"/>
      <c r="C98" s="111"/>
      <c r="D98" s="112"/>
      <c r="E98" s="113" t="s">
        <v>49</v>
      </c>
      <c r="F98" s="114"/>
      <c r="G98" s="1"/>
      <c r="H98" s="110"/>
      <c r="I98" s="111"/>
      <c r="J98" s="112"/>
      <c r="K98" s="113"/>
      <c r="L98" s="11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110"/>
      <c r="C99" s="111"/>
      <c r="D99" s="112"/>
      <c r="E99" s="113" t="s">
        <v>50</v>
      </c>
      <c r="F99" s="114"/>
      <c r="G99" s="1"/>
      <c r="H99" s="110"/>
      <c r="I99" s="111"/>
      <c r="J99" s="112"/>
      <c r="K99" s="113"/>
      <c r="L99" s="114"/>
      <c r="M99" s="1"/>
      <c r="N99" s="1"/>
      <c r="O99" s="1"/>
      <c r="P99" s="1"/>
      <c r="Q99" s="1"/>
      <c r="R99" s="1"/>
      <c r="S99" s="1"/>
      <c r="T99" s="25"/>
      <c r="U99" s="1"/>
      <c r="V99" s="1"/>
      <c r="W99" s="1"/>
      <c r="X99" s="1"/>
      <c r="Y99" s="1"/>
      <c r="Z99" s="1"/>
    </row>
    <row r="100" spans="1:26" ht="15.75" x14ac:dyDescent="0.25">
      <c r="A100" s="1"/>
      <c r="B100" s="110"/>
      <c r="C100" s="111"/>
      <c r="D100" s="112"/>
      <c r="E100" s="113" t="s">
        <v>51</v>
      </c>
      <c r="F100" s="114"/>
      <c r="G100" s="1"/>
      <c r="H100" s="110"/>
      <c r="I100" s="111"/>
      <c r="J100" s="112"/>
      <c r="K100" s="113"/>
      <c r="L100" s="114"/>
      <c r="M100" s="1"/>
      <c r="N100" s="1"/>
      <c r="O100" s="1"/>
      <c r="P100" s="1"/>
      <c r="Q100" s="1"/>
      <c r="R100" s="1"/>
      <c r="S100" s="1"/>
      <c r="T100" s="25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110"/>
      <c r="C101" s="111"/>
      <c r="D101" s="112"/>
      <c r="E101" s="113" t="s">
        <v>52</v>
      </c>
      <c r="F101" s="114"/>
      <c r="G101" s="1"/>
      <c r="H101" s="110"/>
      <c r="I101" s="111"/>
      <c r="J101" s="112"/>
      <c r="K101" s="113"/>
      <c r="L101" s="114"/>
      <c r="M101" s="1"/>
      <c r="N101" s="1"/>
      <c r="O101" s="1"/>
      <c r="P101" s="1"/>
      <c r="Q101" s="1"/>
      <c r="R101" s="1"/>
      <c r="S101" s="1"/>
      <c r="T101" s="25"/>
      <c r="U101" s="25"/>
      <c r="V101" s="1"/>
      <c r="W101" s="1"/>
      <c r="X101" s="1"/>
      <c r="Y101" s="1"/>
      <c r="Z101" s="1"/>
    </row>
    <row r="102" spans="1:26" x14ac:dyDescent="0.25">
      <c r="A102" s="1"/>
      <c r="B102" s="110"/>
      <c r="C102" s="111"/>
      <c r="D102" s="112"/>
      <c r="E102" s="116" t="s">
        <v>53</v>
      </c>
      <c r="F102" s="114"/>
      <c r="G102" s="1"/>
      <c r="H102" s="110"/>
      <c r="I102" s="111"/>
      <c r="J102" s="112"/>
      <c r="K102" s="113"/>
      <c r="L102" s="11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10"/>
      <c r="C103" s="111"/>
      <c r="D103" s="112"/>
      <c r="E103" s="116" t="s">
        <v>54</v>
      </c>
      <c r="F103" s="114"/>
      <c r="G103" s="1"/>
      <c r="H103" s="110"/>
      <c r="I103" s="111"/>
      <c r="J103" s="112"/>
      <c r="K103" s="116"/>
      <c r="L103" s="11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10"/>
      <c r="C104" s="111"/>
      <c r="D104" s="112"/>
      <c r="E104" s="113" t="s">
        <v>55</v>
      </c>
      <c r="F104" s="114"/>
      <c r="G104" s="1"/>
      <c r="H104" s="110"/>
      <c r="I104" s="111"/>
      <c r="J104" s="112"/>
      <c r="K104" s="116"/>
      <c r="L104" s="11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10"/>
      <c r="C105" s="111"/>
      <c r="D105" s="112"/>
      <c r="E105" s="113" t="s">
        <v>56</v>
      </c>
      <c r="F105" s="114"/>
      <c r="G105" s="1"/>
      <c r="H105" s="110"/>
      <c r="I105" s="111"/>
      <c r="J105" s="112"/>
      <c r="K105" s="113"/>
      <c r="L105" s="11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10"/>
      <c r="C106" s="111"/>
      <c r="D106" s="112"/>
      <c r="E106" s="113" t="s">
        <v>57</v>
      </c>
      <c r="F106" s="114">
        <f>R125*G108</f>
      </c>
      <c r="G106" s="117">
        <f>F106+L106</f>
      </c>
      <c r="H106" s="110"/>
      <c r="I106" s="111"/>
      <c r="J106" s="112"/>
      <c r="K106" s="113" t="s">
        <v>57</v>
      </c>
      <c r="L106" s="118">
        <f>(SUM(C2:S2)+(R123+R122))*G108</f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thickBot="1" x14ac:dyDescent="0.35">
      <c r="A107" s="1"/>
      <c r="B107" s="110"/>
      <c r="C107" s="111"/>
      <c r="D107" s="112"/>
      <c r="E107" s="113"/>
      <c r="F107" s="1"/>
      <c r="G107" s="119" t="s">
        <v>58</v>
      </c>
      <c r="H107" s="110"/>
      <c r="I107" s="111"/>
      <c r="J107" s="112"/>
      <c r="K107" s="113"/>
      <c r="L107" s="114"/>
      <c r="M107" s="1"/>
      <c r="N107" s="120" t="s">
        <v>59</v>
      </c>
      <c r="O107" s="121"/>
      <c r="P107" s="122"/>
      <c r="Q107" s="123">
        <f>T2</f>
      </c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10"/>
      <c r="C108" s="111"/>
      <c r="D108" s="112"/>
      <c r="E108" s="113"/>
      <c r="F108" s="1"/>
      <c r="G108" s="124">
        <v>1E-3</v>
      </c>
      <c r="H108" s="110"/>
      <c r="I108" s="111"/>
      <c r="J108" s="112"/>
      <c r="K108" s="113"/>
      <c r="L108" s="114"/>
      <c r="M108" s="1"/>
      <c r="N108" s="1"/>
      <c r="O108" s="1"/>
      <c r="P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110"/>
      <c r="C109" s="111"/>
      <c r="D109" s="112"/>
      <c r="E109" s="113" t="s">
        <v>60</v>
      </c>
      <c r="F109" s="114">
        <f>R125*G108</f>
      </c>
      <c r="G109" s="117">
        <f>F109+L109</f>
      </c>
      <c r="H109" s="110"/>
      <c r="I109" s="111"/>
      <c r="J109" s="112"/>
      <c r="K109" s="113" t="s">
        <v>60</v>
      </c>
      <c r="L109" s="118">
        <f>(SUM(C2:S2)+(R122+R123))*G108</f>
      </c>
      <c r="M109" s="1"/>
      <c r="N109" s="125"/>
      <c r="O109" s="126"/>
      <c r="P109" s="127" t="s">
        <v>61</v>
      </c>
      <c r="Q109" s="128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thickBot="1" x14ac:dyDescent="0.3">
      <c r="A110" s="1"/>
      <c r="B110" s="110"/>
      <c r="C110" s="111"/>
      <c r="D110" s="112"/>
      <c r="E110" s="113"/>
      <c r="F110" s="114"/>
      <c r="G110" s="1"/>
      <c r="H110" s="110"/>
      <c r="I110" s="111"/>
      <c r="J110" s="112"/>
      <c r="K110" s="113"/>
      <c r="L110" s="114"/>
      <c r="M110" s="1"/>
      <c r="N110" s="129"/>
      <c r="O110" s="130"/>
      <c r="P110" s="131" t="s">
        <v>62</v>
      </c>
      <c r="Q110" s="132">
        <f>SUM(C2:S2)</f>
      </c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110"/>
      <c r="C111" s="111"/>
      <c r="D111" s="112"/>
      <c r="E111" s="113" t="s">
        <v>63</v>
      </c>
      <c r="F111" s="114"/>
      <c r="G111" s="1"/>
      <c r="H111" s="110"/>
      <c r="I111" s="111"/>
      <c r="J111" s="112"/>
      <c r="K111" s="113"/>
      <c r="L111" s="114"/>
      <c r="M111" s="1"/>
      <c r="N111" s="125"/>
      <c r="O111" s="126"/>
      <c r="P111" s="133" t="s">
        <v>64</v>
      </c>
      <c r="Q111" s="128">
        <f>U2</f>
      </c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thickBot="1" x14ac:dyDescent="0.3">
      <c r="A112" s="1"/>
      <c r="B112" s="110"/>
      <c r="C112" s="111"/>
      <c r="D112" s="112"/>
      <c r="E112" s="113" t="s">
        <v>65</v>
      </c>
      <c r="F112" s="114"/>
      <c r="G112" s="1"/>
      <c r="H112" s="110"/>
      <c r="I112" s="111"/>
      <c r="J112" s="112"/>
      <c r="K112" s="113"/>
      <c r="L112" s="114"/>
      <c r="M112" s="1"/>
      <c r="N112" s="134"/>
      <c r="O112" s="135"/>
      <c r="P112" s="136"/>
      <c r="Q112" s="13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thickBot="1" x14ac:dyDescent="0.35">
      <c r="A113" s="1"/>
      <c r="B113" s="110"/>
      <c r="C113" s="111"/>
      <c r="D113" s="112"/>
      <c r="E113" s="113" t="s">
        <v>66</v>
      </c>
      <c r="F113" s="114"/>
      <c r="G113" s="1"/>
      <c r="H113" s="110"/>
      <c r="I113" s="111"/>
      <c r="J113" s="112"/>
      <c r="K113" s="113"/>
      <c r="L113" s="114"/>
      <c r="M113" s="1"/>
      <c r="N113" s="120" t="s">
        <v>67</v>
      </c>
      <c r="O113" s="121"/>
      <c r="P113" s="122"/>
      <c r="Q113" s="123">
        <f>Q111+R122</f>
      </c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10"/>
      <c r="C114" s="111"/>
      <c r="D114" s="112"/>
      <c r="E114" s="113"/>
      <c r="F114" s="114"/>
      <c r="G114" s="1"/>
      <c r="H114" s="110"/>
      <c r="I114" s="111"/>
      <c r="J114" s="112"/>
      <c r="K114" s="113"/>
      <c r="L114" s="11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thickBot="1" x14ac:dyDescent="0.3">
      <c r="A115" s="1"/>
      <c r="B115" s="110"/>
      <c r="C115" s="111"/>
      <c r="D115" s="112"/>
      <c r="E115" s="113" t="s">
        <v>68</v>
      </c>
      <c r="F115" s="114"/>
      <c r="G115" s="1"/>
      <c r="H115" s="110"/>
      <c r="I115" s="111"/>
      <c r="J115" s="112"/>
      <c r="K115" s="113" t="s">
        <v>68</v>
      </c>
      <c r="L115" s="114"/>
      <c r="M115" s="1"/>
      <c r="N115" s="138" t="s">
        <v>69</v>
      </c>
      <c r="O115" s="139"/>
      <c r="P115" s="139"/>
      <c r="Q115" s="139"/>
      <c r="R115" s="140"/>
      <c r="S115" s="1"/>
      <c r="T115" s="1"/>
      <c r="U115" s="1"/>
      <c r="V115" s="1"/>
      <c r="W115" s="2"/>
      <c r="X115" s="1"/>
      <c r="Y115" s="1"/>
      <c r="Z115" s="1"/>
    </row>
    <row r="116" spans="1:26" ht="16.5" thickBot="1" x14ac:dyDescent="0.3">
      <c r="A116" s="1"/>
      <c r="B116" s="110"/>
      <c r="C116" s="111"/>
      <c r="D116" s="112"/>
      <c r="E116" s="113" t="s">
        <v>70</v>
      </c>
      <c r="F116" s="114"/>
      <c r="G116" s="1"/>
      <c r="H116" s="110"/>
      <c r="I116" s="111"/>
      <c r="J116" s="112"/>
      <c r="K116" s="113" t="s">
        <v>70</v>
      </c>
      <c r="L116" s="114"/>
      <c r="M116" s="1"/>
      <c r="N116" s="141"/>
      <c r="O116" s="142" t="s">
        <v>14</v>
      </c>
      <c r="P116" s="142" t="s">
        <v>71</v>
      </c>
      <c r="Q116" s="143" t="s">
        <v>14</v>
      </c>
      <c r="R116" s="143" t="s">
        <v>71</v>
      </c>
      <c r="S116" s="1"/>
      <c r="T116" s="1"/>
      <c r="U116" s="144"/>
      <c r="V116" s="1"/>
      <c r="W116" s="1"/>
      <c r="X116" s="1"/>
      <c r="Y116" s="1"/>
      <c r="Z116" s="1"/>
    </row>
    <row r="117" spans="1:26" x14ac:dyDescent="0.25">
      <c r="A117" s="1"/>
      <c r="B117" s="110"/>
      <c r="C117" s="111"/>
      <c r="D117" s="112"/>
      <c r="E117" s="113" t="s">
        <v>72</v>
      </c>
      <c r="F117" s="114"/>
      <c r="G117" s="1"/>
      <c r="H117" s="110"/>
      <c r="I117" s="111"/>
      <c r="J117" s="112"/>
      <c r="K117" s="113" t="s">
        <v>73</v>
      </c>
      <c r="L117" s="114"/>
      <c r="M117" s="1"/>
      <c r="N117" s="145" t="s">
        <v>74</v>
      </c>
      <c r="O117" s="146">
        <v>1.8800000000000001E-2</v>
      </c>
      <c r="P117" s="147">
        <v>2.8799999999999999E-2</v>
      </c>
      <c r="Q117" s="148">
        <f>(Q$107*100/(100-4.65-1.5))*O117</f>
      </c>
      <c r="R117" s="148">
        <f>Q$113*P117</f>
      </c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10"/>
      <c r="C118" s="111"/>
      <c r="D118" s="112"/>
      <c r="E118" s="113"/>
      <c r="F118" s="114"/>
      <c r="G118" s="1"/>
      <c r="H118" s="110"/>
      <c r="I118" s="111"/>
      <c r="J118" s="112"/>
      <c r="K118" s="113"/>
      <c r="L118" s="114"/>
      <c r="M118" s="1"/>
      <c r="N118" s="149" t="s">
        <v>75</v>
      </c>
      <c r="O118" s="150">
        <v>0</v>
      </c>
      <c r="P118" s="151">
        <v>0</v>
      </c>
      <c r="Q118" s="152">
        <f>(Q$107*100/(100-4.65-1.5))*O118</f>
      </c>
      <c r="R118" s="152">
        <f>L$66*P118</f>
      </c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10"/>
      <c r="C119" s="111"/>
      <c r="D119" s="112"/>
      <c r="E119" s="113" t="s">
        <v>76</v>
      </c>
      <c r="F119" s="114"/>
      <c r="G119" s="1"/>
      <c r="H119" s="110"/>
      <c r="I119" s="111"/>
      <c r="J119" s="112"/>
      <c r="K119" s="113" t="s">
        <v>76</v>
      </c>
      <c r="L119" s="114"/>
      <c r="M119" s="1"/>
      <c r="N119" s="149" t="s">
        <v>77</v>
      </c>
      <c r="O119" s="150">
        <v>0</v>
      </c>
      <c r="P119" s="151">
        <v>0</v>
      </c>
      <c r="Q119" s="152">
        <f>(Q$107*100/(100-4.65-1.5))*O119</f>
      </c>
      <c r="R119" s="152">
        <f>L$66*P119</f>
      </c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10"/>
      <c r="C120" s="111"/>
      <c r="D120" s="112"/>
      <c r="E120" s="113" t="s">
        <v>78</v>
      </c>
      <c r="F120" s="114"/>
      <c r="G120" s="1"/>
      <c r="H120" s="110"/>
      <c r="I120" s="111"/>
      <c r="J120" s="112"/>
      <c r="K120" s="113" t="s">
        <v>78</v>
      </c>
      <c r="L120" s="114"/>
      <c r="M120" s="1"/>
      <c r="N120" s="153" t="s">
        <v>79</v>
      </c>
      <c r="O120" s="154">
        <v>3.3000000000000002E-2</v>
      </c>
      <c r="P120" s="155">
        <v>4.8000000000000001E-2</v>
      </c>
      <c r="Q120" s="156">
        <f>((Q$107*100/(100-4.65-1.5))*O120)+((Q107*0.32)-20000)*0.1</f>
      </c>
      <c r="R120" s="156">
        <f>Q$113*P120+((Q113*0.32)-20000)*0.1</f>
      </c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10"/>
      <c r="C121" s="111"/>
      <c r="D121" s="112"/>
      <c r="E121" s="116" t="s">
        <v>80</v>
      </c>
      <c r="F121" s="114"/>
      <c r="G121" s="1"/>
      <c r="H121" s="110"/>
      <c r="I121" s="111"/>
      <c r="J121" s="112"/>
      <c r="K121" s="116"/>
      <c r="L121" s="11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thickBot="1" x14ac:dyDescent="0.3">
      <c r="A122" s="1"/>
      <c r="B122" s="110"/>
      <c r="C122" s="111"/>
      <c r="D122" s="112"/>
      <c r="E122" s="116" t="s">
        <v>81</v>
      </c>
      <c r="F122" s="114"/>
      <c r="G122" s="1"/>
      <c r="H122" s="110"/>
      <c r="I122" s="111"/>
      <c r="J122" s="112"/>
      <c r="K122" s="116" t="s">
        <v>81</v>
      </c>
      <c r="L122" s="114"/>
      <c r="M122" s="1"/>
      <c r="N122" s="157" t="s">
        <v>82</v>
      </c>
      <c r="O122" s="158"/>
      <c r="P122" s="158"/>
      <c r="Q122" s="159"/>
      <c r="R122" s="160">
        <f>SUM(C53:S53)+SUM(C23:S23)</f>
      </c>
      <c r="S122" s="25"/>
      <c r="T122" s="1"/>
      <c r="U122" s="1"/>
      <c r="V122" s="1"/>
      <c r="W122" s="1"/>
      <c r="X122" s="1"/>
      <c r="Y122" s="1"/>
      <c r="Z122" s="1"/>
    </row>
    <row r="123" spans="1:26" ht="18.75" thickBot="1" x14ac:dyDescent="0.3">
      <c r="A123" s="1"/>
      <c r="B123" s="110"/>
      <c r="C123" s="111"/>
      <c r="D123" s="161"/>
      <c r="E123" s="162" t="s">
        <v>83</v>
      </c>
      <c r="F123" s="163"/>
      <c r="G123" s="1"/>
      <c r="H123" s="110"/>
      <c r="I123" s="111"/>
      <c r="J123" s="112"/>
      <c r="K123" s="162" t="s">
        <v>83</v>
      </c>
      <c r="L123" s="114"/>
      <c r="M123" s="1"/>
      <c r="N123" s="157" t="s">
        <v>84</v>
      </c>
      <c r="O123" s="158"/>
      <c r="P123" s="158"/>
      <c r="Q123" s="159"/>
      <c r="R123" s="164">
        <f>V2</f>
      </c>
      <c r="S123" s="165">
        <f>R123/R126</f>
      </c>
      <c r="T123" s="1"/>
      <c r="U123" s="1"/>
      <c r="V123" s="1"/>
      <c r="W123" s="1"/>
      <c r="X123" s="1"/>
      <c r="Y123" s="1"/>
      <c r="Z123" s="1"/>
    </row>
    <row r="124" spans="1:26" ht="17.25" thickBot="1" x14ac:dyDescent="0.3">
      <c r="A124" s="1"/>
      <c r="B124" s="166"/>
      <c r="C124" s="167"/>
      <c r="D124" s="168"/>
      <c r="E124" s="169" t="s">
        <v>85</v>
      </c>
      <c r="F124" s="170"/>
      <c r="G124" s="1"/>
      <c r="H124" s="166"/>
      <c r="I124" s="167"/>
      <c r="J124" s="168"/>
      <c r="K124" s="169" t="s">
        <v>85</v>
      </c>
      <c r="L124" s="170"/>
      <c r="M124" s="1"/>
      <c r="N124" s="171" t="s">
        <v>86</v>
      </c>
      <c r="O124" s="172"/>
      <c r="P124" s="172"/>
      <c r="Q124" s="173"/>
      <c r="R124" s="174">
        <f>SUM(C55:S55)+SUM(C25:S25)</f>
      </c>
      <c r="S124" s="165">
        <f>R124/R126</f>
      </c>
      <c r="T124" s="1"/>
      <c r="U124" s="1"/>
      <c r="V124" s="1"/>
      <c r="W124" s="1"/>
      <c r="X124" s="1"/>
      <c r="Y124" s="1"/>
      <c r="Z124" s="1"/>
    </row>
    <row r="125" spans="1:26" ht="18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57" t="s">
        <v>87</v>
      </c>
      <c r="O125" s="158"/>
      <c r="P125" s="158"/>
      <c r="Q125" s="159"/>
      <c r="R125" s="175">
        <f>T2</f>
      </c>
      <c r="S125" s="165">
        <f>R125/R126</f>
      </c>
      <c r="T125" s="1"/>
      <c r="U125" s="1"/>
      <c r="V125" s="1"/>
      <c r="W125" s="1"/>
      <c r="X125" s="1"/>
      <c r="Y125" s="1"/>
      <c r="Z125" s="1"/>
    </row>
    <row r="126" spans="1:26" ht="18.75" thickBot="1" x14ac:dyDescent="0.3">
      <c r="A126" s="1"/>
      <c r="B126" s="176"/>
      <c r="C126" s="1"/>
      <c r="D126" s="177"/>
      <c r="E126" s="178" t="s">
        <v>88</v>
      </c>
      <c r="F126" s="179">
        <f>SUM(F83:F124)</f>
      </c>
      <c r="G126" s="1"/>
      <c r="H126" s="176"/>
      <c r="I126" s="1"/>
      <c r="J126" s="177"/>
      <c r="K126" s="180" t="s">
        <v>89</v>
      </c>
      <c r="L126" s="179">
        <f>SUM(L83:L124)</f>
      </c>
      <c r="M126" s="1"/>
      <c r="N126" s="157" t="s">
        <v>90</v>
      </c>
      <c r="O126" s="158"/>
      <c r="P126" s="158"/>
      <c r="Q126" s="159"/>
      <c r="R126" s="164">
        <f>SUM(R123:R125)</f>
      </c>
      <c r="S126" s="181"/>
      <c r="T126" s="1"/>
      <c r="U126" s="1"/>
      <c r="V126" s="1"/>
      <c r="W126" s="1"/>
      <c r="X126" s="1"/>
      <c r="Y126" s="1"/>
      <c r="Z126" s="1"/>
    </row>
    <row r="127" spans="1:26" ht="18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57" t="s">
        <v>91</v>
      </c>
      <c r="O127" s="158"/>
      <c r="P127" s="158"/>
      <c r="Q127" s="159"/>
      <c r="R127" s="182">
        <v>0.63</v>
      </c>
      <c r="S127" s="25"/>
      <c r="T127" s="1"/>
      <c r="U127" s="1"/>
      <c r="V127" s="1"/>
      <c r="W127" s="1"/>
      <c r="X127" s="1"/>
      <c r="Y127" s="1"/>
      <c r="Z127" s="1"/>
    </row>
    <row r="128" spans="1:26" ht="18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57" t="s">
        <v>92</v>
      </c>
      <c r="O128" s="158"/>
      <c r="P128" s="158"/>
      <c r="Q128" s="159"/>
      <c r="R128" s="175">
        <f>(R126-F126-L126)*R127</f>
      </c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thickBot="1" x14ac:dyDescent="0.3">
      <c r="A131" s="1"/>
      <c r="B131" s="183"/>
      <c r="C131" s="93"/>
      <c r="D131" s="25"/>
      <c r="E131" s="25"/>
      <c r="F131" s="25"/>
      <c r="G131" s="25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thickBot="1" x14ac:dyDescent="0.3">
      <c r="A132" s="1"/>
      <c r="B132" s="184"/>
      <c r="C132" s="185" t="s">
        <v>0</v>
      </c>
      <c r="D132" s="186" t="s">
        <v>1</v>
      </c>
      <c r="E132" s="186" t="s">
        <v>2</v>
      </c>
      <c r="F132" s="186" t="s">
        <v>3</v>
      </c>
      <c r="G132" s="186" t="s">
        <v>4</v>
      </c>
      <c r="H132" s="186" t="s">
        <v>5</v>
      </c>
      <c r="I132" s="186" t="s">
        <v>6</v>
      </c>
      <c r="J132" s="186" t="s">
        <v>7</v>
      </c>
      <c r="K132" s="186" t="s">
        <v>8</v>
      </c>
      <c r="L132" s="186" t="s">
        <v>9</v>
      </c>
      <c r="M132" s="186" t="s">
        <v>10</v>
      </c>
      <c r="N132" s="186" t="s">
        <v>11</v>
      </c>
      <c r="O132" s="186" t="s">
        <v>12</v>
      </c>
      <c r="P132" s="186" t="s">
        <v>13</v>
      </c>
      <c r="Q132" s="186"/>
      <c r="R132" s="186"/>
      <c r="S132" s="187"/>
      <c r="T132" s="1"/>
      <c r="U132" s="1"/>
      <c r="V132" s="1"/>
      <c r="W132" s="1"/>
      <c r="X132" s="1"/>
      <c r="Y132" s="1"/>
      <c r="Z132" s="1"/>
    </row>
    <row r="133" spans="1:26" ht="18.75" thickBot="1" x14ac:dyDescent="0.3">
      <c r="A133" s="1"/>
      <c r="B133" s="188" t="s">
        <v>93</v>
      </c>
      <c r="C133" s="189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92" t="s">
        <v>94</v>
      </c>
      <c r="C134" s="193">
        <v>1</v>
      </c>
      <c r="D134" s="194">
        <v>1</v>
      </c>
      <c r="E134" s="194">
        <v>1</v>
      </c>
      <c r="F134" s="194">
        <v>1</v>
      </c>
      <c r="G134" s="194">
        <v>1</v>
      </c>
      <c r="H134" s="194">
        <v>1</v>
      </c>
      <c r="I134" s="194">
        <v>1</v>
      </c>
      <c r="J134" s="194">
        <v>1</v>
      </c>
      <c r="K134" s="194">
        <v>1</v>
      </c>
      <c r="L134" s="194">
        <v>1</v>
      </c>
      <c r="M134" s="194">
        <v>1</v>
      </c>
      <c r="N134" s="194">
        <v>1</v>
      </c>
      <c r="O134" s="194">
        <v>1</v>
      </c>
      <c r="P134" s="194">
        <v>1</v>
      </c>
      <c r="Q134" s="194"/>
      <c r="R134" s="194"/>
      <c r="S134" s="195"/>
      <c r="T134" s="1"/>
      <c r="U134" s="1"/>
      <c r="V134" s="1"/>
      <c r="W134" s="1"/>
      <c r="X134" s="1"/>
      <c r="Y134" s="196"/>
      <c r="Z134" s="196"/>
    </row>
    <row r="135" spans="1:26" ht="15.75" thickBot="1" x14ac:dyDescent="0.3">
      <c r="A135" s="1"/>
      <c r="B135" s="192" t="s">
        <v>95</v>
      </c>
      <c r="C135" s="197">
        <f t="shared" ref="C135:Q135" si="7">C133*C134</f>
      </c>
      <c r="D135" s="198">
        <f t="shared" si="7"/>
      </c>
      <c r="E135" s="198">
        <f t="shared" si="7"/>
      </c>
      <c r="F135" s="198">
        <f t="shared" si="7"/>
      </c>
      <c r="G135" s="198">
        <f t="shared" si="7"/>
      </c>
      <c r="H135" s="198">
        <f t="shared" si="7"/>
      </c>
      <c r="I135" s="198">
        <f t="shared" si="7"/>
      </c>
      <c r="J135" s="198">
        <f t="shared" si="7"/>
      </c>
      <c r="K135" s="198">
        <f t="shared" si="7"/>
      </c>
      <c r="L135" s="198">
        <f t="shared" si="7"/>
      </c>
      <c r="M135" s="198">
        <f t="shared" si="7"/>
      </c>
      <c r="N135" s="198">
        <f t="shared" si="7"/>
      </c>
      <c r="O135" s="198">
        <f t="shared" si="7"/>
      </c>
      <c r="P135" s="198">
        <f t="shared" si="7"/>
      </c>
      <c r="Q135" s="198">
        <f t="shared" si="7"/>
      </c>
      <c r="R135" s="198"/>
      <c r="S135" s="199"/>
      <c r="T135" s="199">
        <f>SUM(C135:R135)</f>
      </c>
      <c r="U135" s="1"/>
      <c r="V135" s="1"/>
      <c r="W135" s="1"/>
      <c r="X135" s="1"/>
      <c r="Y135" s="196"/>
      <c r="Z135" s="196"/>
    </row>
    <row r="136" spans="1:26" ht="15.75" x14ac:dyDescent="0.25">
      <c r="A136" s="1"/>
      <c r="B136" s="192" t="s">
        <v>96</v>
      </c>
      <c r="C136" s="200"/>
      <c r="D136" s="201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3"/>
      <c r="T136" s="1"/>
      <c r="U136" s="1"/>
      <c r="V136" s="1"/>
      <c r="W136" s="1"/>
      <c r="X136" s="1"/>
      <c r="Y136" s="1"/>
      <c r="Z136" s="1"/>
    </row>
    <row r="137" spans="1:26" ht="16.5" thickBot="1" x14ac:dyDescent="0.3">
      <c r="A137" s="1"/>
      <c r="B137" s="192" t="s">
        <v>96</v>
      </c>
      <c r="C137" s="204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6"/>
      <c r="T137" s="1"/>
      <c r="U137" s="1"/>
      <c r="V137" s="1"/>
      <c r="W137" s="1"/>
      <c r="X137" s="1"/>
      <c r="Y137" s="1"/>
      <c r="Z137" s="1"/>
    </row>
    <row r="138" spans="1:26" ht="16.5" thickBot="1" x14ac:dyDescent="0.3">
      <c r="A138" s="1"/>
      <c r="B138" s="192" t="s">
        <v>96</v>
      </c>
      <c r="C138" s="204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6"/>
      <c r="T138" s="1"/>
      <c r="U138" s="207" t="s">
        <v>97</v>
      </c>
      <c r="V138" s="208">
        <v>2025</v>
      </c>
      <c r="W138" s="1"/>
      <c r="X138" s="1"/>
      <c r="Y138" s="1"/>
      <c r="Z138" s="1"/>
    </row>
    <row r="139" spans="1:26" ht="15.75" x14ac:dyDescent="0.25">
      <c r="A139" s="1"/>
      <c r="B139" s="192" t="s">
        <v>96</v>
      </c>
      <c r="C139" s="204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6"/>
      <c r="T139" s="1"/>
      <c r="U139" s="209" t="s">
        <v>98</v>
      </c>
      <c r="V139" s="210">
        <v>20</v>
      </c>
      <c r="W139" s="211">
        <f t="shared" ref="W139:W154" si="8">V139*$C$208</f>
      </c>
      <c r="X139" s="1"/>
      <c r="Y139" s="1"/>
      <c r="Z139" s="1"/>
    </row>
    <row r="140" spans="1:26" ht="15.75" x14ac:dyDescent="0.25">
      <c r="A140" s="1"/>
      <c r="B140" s="192" t="s">
        <v>96</v>
      </c>
      <c r="C140" s="204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6"/>
      <c r="T140" s="1"/>
      <c r="U140" s="212" t="s">
        <v>99</v>
      </c>
      <c r="V140" s="213">
        <v>20</v>
      </c>
      <c r="W140" s="211">
        <f t="shared" si="8"/>
      </c>
      <c r="X140" s="1"/>
      <c r="Y140" s="1"/>
      <c r="Z140" s="1"/>
    </row>
    <row r="141" spans="1:26" ht="15.75" x14ac:dyDescent="0.25">
      <c r="A141" s="1"/>
      <c r="B141" s="192" t="s">
        <v>96</v>
      </c>
      <c r="C141" s="204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6"/>
      <c r="T141" s="1"/>
      <c r="U141" s="212" t="s">
        <v>100</v>
      </c>
      <c r="V141" s="213">
        <v>18</v>
      </c>
      <c r="W141" s="211">
        <f t="shared" si="8"/>
      </c>
      <c r="X141" s="1"/>
      <c r="Y141" s="1"/>
      <c r="Z141" s="1"/>
    </row>
    <row r="142" spans="1:26" ht="15.75" x14ac:dyDescent="0.25">
      <c r="A142" s="1"/>
      <c r="B142" s="192" t="s">
        <v>96</v>
      </c>
      <c r="C142" s="204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6"/>
      <c r="T142" s="1"/>
      <c r="U142" s="212" t="s">
        <v>101</v>
      </c>
      <c r="V142" s="213">
        <v>16</v>
      </c>
      <c r="W142" s="211">
        <f t="shared" si="8"/>
      </c>
      <c r="X142" s="1"/>
      <c r="Y142" s="1"/>
      <c r="Z142" s="1"/>
    </row>
    <row r="143" spans="1:26" ht="15.75" x14ac:dyDescent="0.25">
      <c r="A143" s="1"/>
      <c r="B143" s="192" t="s">
        <v>96</v>
      </c>
      <c r="C143" s="204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6"/>
      <c r="T143" s="1"/>
      <c r="U143" s="212" t="s">
        <v>102</v>
      </c>
      <c r="V143" s="213">
        <v>14</v>
      </c>
      <c r="W143" s="211">
        <f t="shared" si="8"/>
      </c>
      <c r="X143" s="1"/>
      <c r="Y143" s="1"/>
      <c r="Z143" s="1"/>
    </row>
    <row r="144" spans="1:26" ht="15.75" x14ac:dyDescent="0.25">
      <c r="A144" s="1"/>
      <c r="B144" s="192" t="s">
        <v>96</v>
      </c>
      <c r="C144" s="204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6"/>
      <c r="T144" s="1"/>
      <c r="U144" s="212" t="s">
        <v>103</v>
      </c>
      <c r="V144" s="213">
        <v>12</v>
      </c>
      <c r="W144" s="211">
        <f t="shared" si="8"/>
      </c>
      <c r="X144" s="1"/>
      <c r="Y144" s="1"/>
      <c r="Z144" s="1"/>
    </row>
    <row r="145" spans="1:26" ht="15.75" x14ac:dyDescent="0.25">
      <c r="A145" s="1"/>
      <c r="B145" s="192" t="s">
        <v>96</v>
      </c>
      <c r="C145" s="204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6"/>
      <c r="T145" s="1"/>
      <c r="U145" s="212" t="s">
        <v>104</v>
      </c>
      <c r="V145" s="213">
        <v>11</v>
      </c>
      <c r="W145" s="211">
        <f t="shared" si="8"/>
      </c>
      <c r="X145" s="1"/>
      <c r="Y145" s="1"/>
      <c r="Z145" s="1"/>
    </row>
    <row r="146" spans="1:26" ht="15.75" x14ac:dyDescent="0.25">
      <c r="A146" s="1"/>
      <c r="B146" s="192" t="s">
        <v>96</v>
      </c>
      <c r="C146" s="204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6"/>
      <c r="T146" s="1"/>
      <c r="U146" s="212" t="s">
        <v>105</v>
      </c>
      <c r="V146" s="213">
        <v>12</v>
      </c>
      <c r="W146" s="211">
        <f t="shared" si="8"/>
      </c>
      <c r="X146" s="1"/>
      <c r="Y146" s="1"/>
      <c r="Z146" s="1"/>
    </row>
    <row r="147" spans="1:26" ht="15.75" x14ac:dyDescent="0.25">
      <c r="A147" s="1"/>
      <c r="B147" s="192" t="s">
        <v>96</v>
      </c>
      <c r="C147" s="204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6"/>
      <c r="T147" s="1"/>
      <c r="U147" s="212" t="s">
        <v>106</v>
      </c>
      <c r="V147" s="213">
        <v>26</v>
      </c>
      <c r="W147" s="211">
        <f t="shared" si="8"/>
      </c>
      <c r="X147" s="1"/>
      <c r="Y147" s="1"/>
      <c r="Z147" s="1"/>
    </row>
    <row r="148" spans="1:26" ht="15.75" x14ac:dyDescent="0.25">
      <c r="A148" s="1"/>
      <c r="B148" s="192" t="s">
        <v>96</v>
      </c>
      <c r="C148" s="204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6"/>
      <c r="T148" s="1"/>
      <c r="U148" s="212" t="s">
        <v>107</v>
      </c>
      <c r="V148" s="213">
        <v>13</v>
      </c>
      <c r="W148" s="211">
        <f t="shared" si="8"/>
      </c>
      <c r="X148" s="1"/>
      <c r="Y148" s="1"/>
      <c r="Z148" s="1"/>
    </row>
    <row r="149" spans="1:26" ht="15.75" x14ac:dyDescent="0.25">
      <c r="A149" s="1"/>
      <c r="B149" s="192" t="s">
        <v>96</v>
      </c>
      <c r="C149" s="204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6"/>
      <c r="T149" s="1"/>
      <c r="U149" s="212" t="s">
        <v>108</v>
      </c>
      <c r="V149" s="213">
        <v>13</v>
      </c>
      <c r="W149" s="211">
        <f t="shared" si="8"/>
      </c>
      <c r="X149" s="1"/>
      <c r="Y149" s="1"/>
      <c r="Z149" s="1"/>
    </row>
    <row r="150" spans="1:26" ht="15.75" x14ac:dyDescent="0.25">
      <c r="A150" s="1"/>
      <c r="B150" s="192" t="s">
        <v>96</v>
      </c>
      <c r="C150" s="204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6"/>
      <c r="T150" s="1"/>
      <c r="U150" s="212" t="s">
        <v>109</v>
      </c>
      <c r="V150" s="213">
        <v>26</v>
      </c>
      <c r="W150" s="211">
        <f t="shared" si="8"/>
      </c>
      <c r="X150" s="1"/>
      <c r="Y150" s="1"/>
      <c r="Z150" s="1"/>
    </row>
    <row r="151" spans="1:26" ht="15.75" x14ac:dyDescent="0.25">
      <c r="A151" s="1"/>
      <c r="B151" s="192" t="s">
        <v>96</v>
      </c>
      <c r="C151" s="204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6"/>
      <c r="T151" s="1"/>
      <c r="U151" s="212" t="s">
        <v>110</v>
      </c>
      <c r="V151" s="213">
        <v>18</v>
      </c>
      <c r="W151" s="211">
        <f t="shared" si="8"/>
      </c>
      <c r="X151" s="1"/>
      <c r="Y151" s="1"/>
      <c r="Z151" s="1"/>
    </row>
    <row r="152" spans="1:26" ht="15.75" x14ac:dyDescent="0.25">
      <c r="A152" s="1"/>
      <c r="B152" s="192" t="s">
        <v>96</v>
      </c>
      <c r="C152" s="204"/>
      <c r="D152" s="205"/>
      <c r="E152" s="205"/>
      <c r="F152" s="205"/>
      <c r="G152" s="205"/>
      <c r="H152" s="205"/>
      <c r="I152" s="205"/>
      <c r="J152" s="205"/>
      <c r="K152" s="205"/>
      <c r="L152" s="214"/>
      <c r="M152" s="205"/>
      <c r="N152" s="205"/>
      <c r="O152" s="205"/>
      <c r="P152" s="205"/>
      <c r="Q152" s="205"/>
      <c r="R152" s="205"/>
      <c r="S152" s="206"/>
      <c r="T152" s="1"/>
      <c r="U152" s="212" t="s">
        <v>111</v>
      </c>
      <c r="V152" s="213">
        <v>8</v>
      </c>
      <c r="W152" s="211">
        <f t="shared" si="8"/>
      </c>
      <c r="X152" s="1"/>
      <c r="Y152" s="1"/>
      <c r="Z152" s="1"/>
    </row>
    <row r="153" spans="1:26" ht="16.5" thickBot="1" x14ac:dyDescent="0.3">
      <c r="A153" s="1"/>
      <c r="B153" s="192" t="s">
        <v>96</v>
      </c>
      <c r="C153" s="204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6"/>
      <c r="T153" s="1"/>
      <c r="U153" s="215" t="s">
        <v>112</v>
      </c>
      <c r="V153" s="216">
        <v>80</v>
      </c>
      <c r="W153" s="211">
        <f t="shared" si="8"/>
      </c>
      <c r="X153" s="1"/>
      <c r="Y153" s="1"/>
      <c r="Z153" s="1"/>
    </row>
    <row r="154" spans="1:26" ht="15.75" x14ac:dyDescent="0.25">
      <c r="A154" s="1"/>
      <c r="B154" s="192" t="s">
        <v>96</v>
      </c>
      <c r="C154" s="204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6"/>
      <c r="T154" s="1"/>
      <c r="U154" s="217" t="s">
        <v>113</v>
      </c>
      <c r="V154" s="218">
        <v>128.26</v>
      </c>
      <c r="W154" s="211">
        <f t="shared" si="8"/>
      </c>
      <c r="X154" s="1"/>
      <c r="Y154" s="1"/>
      <c r="Z154" s="1"/>
    </row>
    <row r="155" spans="1:26" ht="15.75" x14ac:dyDescent="0.25">
      <c r="A155" s="1"/>
      <c r="B155" s="192" t="s">
        <v>96</v>
      </c>
      <c r="C155" s="204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6"/>
      <c r="T155" s="1"/>
      <c r="U155" s="1" t="s">
        <v>114</v>
      </c>
      <c r="V155" s="219">
        <v>100</v>
      </c>
      <c r="W155" s="1"/>
      <c r="X155" s="1"/>
      <c r="Y155" s="1"/>
      <c r="Z155" s="1"/>
    </row>
    <row r="156" spans="1:26" ht="15.75" x14ac:dyDescent="0.25">
      <c r="A156" s="1"/>
      <c r="B156" s="192" t="s">
        <v>96</v>
      </c>
      <c r="C156" s="204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6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92" t="s">
        <v>96</v>
      </c>
      <c r="C157" s="204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6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92" t="s">
        <v>96</v>
      </c>
      <c r="C158" s="204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6"/>
      <c r="T158" s="217"/>
      <c r="U158" s="218"/>
      <c r="V158" s="217"/>
      <c r="W158" s="218"/>
      <c r="X158" s="218"/>
      <c r="Y158" s="1"/>
      <c r="Z158" s="1"/>
    </row>
    <row r="159" spans="1:26" ht="15.75" x14ac:dyDescent="0.25">
      <c r="A159" s="1"/>
      <c r="B159" s="192" t="s">
        <v>96</v>
      </c>
      <c r="C159" s="204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6"/>
      <c r="T159" s="217"/>
      <c r="U159" s="218"/>
      <c r="V159" s="1"/>
      <c r="W159" s="1"/>
      <c r="X159" s="218"/>
      <c r="Y159" s="1"/>
      <c r="Z159" s="1"/>
    </row>
    <row r="160" spans="1:26" ht="15.75" x14ac:dyDescent="0.25">
      <c r="A160" s="1"/>
      <c r="B160" s="192" t="s">
        <v>96</v>
      </c>
      <c r="C160" s="204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6"/>
      <c r="T160" s="217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92" t="s">
        <v>96</v>
      </c>
      <c r="C161" s="204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6"/>
      <c r="T161" s="217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92" t="s">
        <v>96</v>
      </c>
      <c r="C162" s="204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6"/>
      <c r="T162" s="217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92" t="s">
        <v>96</v>
      </c>
      <c r="C163" s="204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6"/>
      <c r="T163" s="217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92" t="s">
        <v>96</v>
      </c>
      <c r="C164" s="204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6"/>
      <c r="T164" s="217"/>
      <c r="U164" s="1"/>
      <c r="V164" s="1"/>
      <c r="W164" s="1"/>
      <c r="X164" s="1"/>
      <c r="Y164" s="1"/>
      <c r="Z164" s="1"/>
    </row>
    <row r="165" spans="1:26" ht="15.75" x14ac:dyDescent="0.25">
      <c r="A165" s="220"/>
      <c r="B165" s="192" t="s">
        <v>96</v>
      </c>
      <c r="C165" s="204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6"/>
      <c r="T165" s="217"/>
      <c r="U165" s="220"/>
      <c r="V165" s="221"/>
      <c r="W165" s="221"/>
      <c r="X165" s="220"/>
      <c r="Y165" s="220"/>
      <c r="Z165" s="220"/>
    </row>
    <row r="166" spans="1:26" ht="15.75" x14ac:dyDescent="0.25">
      <c r="A166" s="220"/>
      <c r="B166" s="192" t="s">
        <v>96</v>
      </c>
      <c r="C166" s="204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6"/>
      <c r="T166" s="2"/>
      <c r="U166" s="222"/>
      <c r="V166" s="221"/>
      <c r="W166" s="221"/>
      <c r="X166" s="220"/>
      <c r="Y166" s="220"/>
      <c r="Z166" s="220"/>
    </row>
    <row r="167" spans="1:26" ht="15.75" x14ac:dyDescent="0.25">
      <c r="A167" s="223"/>
      <c r="B167" s="192" t="s">
        <v>115</v>
      </c>
      <c r="C167" s="224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6"/>
      <c r="P167" s="225"/>
      <c r="Q167" s="225"/>
      <c r="R167" s="225"/>
      <c r="S167" s="227"/>
      <c r="T167" s="2"/>
      <c r="U167" s="228"/>
      <c r="V167" s="229"/>
      <c r="W167" s="229"/>
      <c r="X167" s="223"/>
      <c r="Y167" s="223"/>
      <c r="Z167" s="223"/>
    </row>
    <row r="168" spans="1:26" ht="16.5" thickBot="1" x14ac:dyDescent="0.3">
      <c r="A168" s="229"/>
      <c r="B168" s="192" t="s">
        <v>116</v>
      </c>
      <c r="C168" s="230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2"/>
      <c r="P168" s="231"/>
      <c r="Q168" s="231"/>
      <c r="R168" s="231"/>
      <c r="S168" s="233"/>
      <c r="T168" s="2"/>
      <c r="U168" s="234"/>
      <c r="V168" s="223"/>
      <c r="W168" s="235"/>
      <c r="X168" s="229"/>
      <c r="Y168" s="229"/>
      <c r="Z168" s="229"/>
    </row>
    <row r="169" spans="1:26" ht="16.5" thickBot="1" x14ac:dyDescent="0.3">
      <c r="A169" s="223"/>
      <c r="B169" s="236" t="s">
        <v>117</v>
      </c>
      <c r="C169" s="237">
        <f t="shared" ref="C169:S169" si="9">SUM(C136:C168)*C134</f>
      </c>
      <c r="D169" s="237">
        <f t="shared" si="9"/>
      </c>
      <c r="E169" s="237">
        <f t="shared" si="9"/>
      </c>
      <c r="F169" s="237">
        <f t="shared" si="9"/>
      </c>
      <c r="G169" s="237">
        <f t="shared" si="9"/>
      </c>
      <c r="H169" s="237">
        <f t="shared" si="9"/>
      </c>
      <c r="I169" s="237">
        <f t="shared" si="9"/>
      </c>
      <c r="J169" s="237">
        <f t="shared" si="9"/>
      </c>
      <c r="K169" s="237">
        <f t="shared" si="9"/>
      </c>
      <c r="L169" s="237">
        <f t="shared" si="9"/>
      </c>
      <c r="M169" s="237">
        <f t="shared" si="9"/>
      </c>
      <c r="N169" s="237">
        <f t="shared" si="9"/>
      </c>
      <c r="O169" s="237">
        <f t="shared" si="9"/>
      </c>
      <c r="P169" s="237">
        <f t="shared" si="9"/>
      </c>
      <c r="Q169" s="237">
        <f t="shared" si="9"/>
      </c>
      <c r="R169" s="237">
        <f t="shared" si="9"/>
      </c>
      <c r="S169" s="237">
        <f t="shared" si="9"/>
      </c>
      <c r="T169" s="238">
        <f>SUM(C169:S169)</f>
      </c>
      <c r="U169" s="239"/>
      <c r="V169" s="223"/>
      <c r="W169" s="235"/>
      <c r="X169" s="223"/>
      <c r="Y169" s="223"/>
      <c r="Z169" s="223"/>
    </row>
    <row r="170" spans="1:26" ht="16.5" thickBot="1" x14ac:dyDescent="0.3">
      <c r="A170" s="223"/>
      <c r="B170" s="240" t="s">
        <v>29</v>
      </c>
      <c r="C170" s="241">
        <f>(C135+C169)</f>
      </c>
      <c r="D170" s="241">
        <f t="shared" ref="D170:S170" si="10">(D135+D169)</f>
      </c>
      <c r="E170" s="241">
        <f t="shared" si="10"/>
      </c>
      <c r="F170" s="241">
        <f t="shared" si="10"/>
      </c>
      <c r="G170" s="241">
        <f t="shared" si="10"/>
      </c>
      <c r="H170" s="241">
        <f t="shared" si="10"/>
      </c>
      <c r="I170" s="241">
        <f t="shared" si="10"/>
      </c>
      <c r="J170" s="241">
        <f t="shared" si="10"/>
      </c>
      <c r="K170" s="241">
        <f t="shared" si="10"/>
      </c>
      <c r="L170" s="241">
        <f t="shared" si="10"/>
      </c>
      <c r="M170" s="241">
        <f t="shared" si="10"/>
      </c>
      <c r="N170" s="241">
        <f t="shared" si="10"/>
      </c>
      <c r="O170" s="241">
        <f t="shared" si="10"/>
      </c>
      <c r="P170" s="241">
        <f t="shared" si="10"/>
      </c>
      <c r="Q170" s="241">
        <f t="shared" si="10"/>
      </c>
      <c r="R170" s="241">
        <f t="shared" si="10"/>
      </c>
      <c r="S170" s="241">
        <f t="shared" si="10"/>
      </c>
      <c r="T170" s="242">
        <f>SUM(C170:S170)</f>
      </c>
      <c r="U170" s="239"/>
      <c r="V170" s="223"/>
      <c r="W170" s="235"/>
      <c r="X170" s="223"/>
      <c r="Y170" s="223"/>
      <c r="Z170" s="223"/>
    </row>
    <row r="171" spans="1:26" ht="15.75" x14ac:dyDescent="0.25">
      <c r="A171" s="223"/>
      <c r="B171" s="243" t="s">
        <v>118</v>
      </c>
      <c r="C171" s="244">
        <f>SUM(C170:S170)</f>
      </c>
      <c r="D171" s="245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7"/>
      <c r="T171" s="248"/>
      <c r="U171" s="239"/>
      <c r="V171" s="223"/>
      <c r="W171" s="235"/>
      <c r="X171" s="223"/>
      <c r="Y171" s="223"/>
      <c r="Z171" s="223"/>
    </row>
    <row r="172" spans="1:26" ht="16.5" thickBot="1" x14ac:dyDescent="0.3">
      <c r="A172" s="223"/>
      <c r="B172" s="249" t="s">
        <v>119</v>
      </c>
      <c r="C172" s="250">
        <f>R128/C171</f>
      </c>
      <c r="D172" s="251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3"/>
      <c r="T172" s="254"/>
      <c r="U172" s="239"/>
      <c r="V172" s="223"/>
      <c r="W172" s="235"/>
      <c r="X172" s="223"/>
      <c r="Y172" s="223"/>
      <c r="Z172" s="223"/>
    </row>
    <row r="173" spans="1:26" ht="16.5" thickBot="1" x14ac:dyDescent="0.3">
      <c r="A173" s="223"/>
      <c r="B173" s="255"/>
      <c r="C173" s="256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3"/>
      <c r="T173" s="257"/>
      <c r="U173" s="239"/>
      <c r="V173" s="223"/>
      <c r="W173" s="235"/>
      <c r="X173" s="223"/>
      <c r="Y173" s="223"/>
      <c r="Z173" s="223"/>
    </row>
    <row r="174" spans="1:26" x14ac:dyDescent="0.25">
      <c r="A174" s="223"/>
      <c r="B174" s="307" t="s">
        <v>120</v>
      </c>
      <c r="C174" s="258">
        <f>(C170*$C$172)</f>
      </c>
      <c r="D174" s="258">
        <f t="shared" ref="D174:Q174" si="11">(D170*$C$172)</f>
      </c>
      <c r="E174" s="258">
        <f t="shared" si="11"/>
      </c>
      <c r="F174" s="258">
        <f t="shared" si="11"/>
      </c>
      <c r="G174" s="258">
        <f t="shared" si="11"/>
      </c>
      <c r="H174" s="258">
        <f t="shared" si="11"/>
      </c>
      <c r="I174" s="258">
        <f t="shared" si="11"/>
      </c>
      <c r="J174" s="258">
        <f t="shared" si="11"/>
      </c>
      <c r="K174" s="258">
        <f t="shared" si="11"/>
      </c>
      <c r="L174" s="258">
        <f t="shared" si="11"/>
      </c>
      <c r="M174" s="258">
        <f t="shared" si="11"/>
      </c>
      <c r="N174" s="258">
        <f t="shared" si="11"/>
      </c>
      <c r="O174" s="258">
        <f t="shared" si="11"/>
      </c>
      <c r="P174" s="258">
        <f t="shared" si="11"/>
      </c>
      <c r="Q174" s="258">
        <f t="shared" si="11"/>
      </c>
      <c r="R174" s="258"/>
      <c r="S174" s="259"/>
      <c r="T174" s="260">
        <f>SUM(C174:S174)</f>
      </c>
      <c r="U174" s="239"/>
      <c r="V174" s="223"/>
      <c r="W174" s="235"/>
      <c r="X174" s="223"/>
      <c r="Y174" s="223"/>
      <c r="Z174" s="223"/>
    </row>
    <row r="175" spans="1:26" x14ac:dyDescent="0.25">
      <c r="A175" s="223"/>
      <c r="B175" s="308" t="s">
        <v>121</v>
      </c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3">
        <f>SUM(C175:S175)</f>
      </c>
      <c r="U175" s="239"/>
      <c r="V175" s="223"/>
      <c r="W175" s="235"/>
      <c r="X175" s="223"/>
      <c r="Y175" s="223"/>
      <c r="Z175" s="223"/>
    </row>
    <row r="176" spans="1:26" x14ac:dyDescent="0.25">
      <c r="A176" s="223"/>
      <c r="B176" s="308" t="s">
        <v>122</v>
      </c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4"/>
      <c r="T176" s="263"/>
      <c r="U176" s="239"/>
      <c r="V176" s="223"/>
      <c r="W176" s="235"/>
      <c r="X176" s="223"/>
      <c r="Y176" s="223"/>
      <c r="Z176" s="223"/>
    </row>
    <row r="177" spans="1:26" x14ac:dyDescent="0.25">
      <c r="A177" s="223"/>
      <c r="B177" s="308" t="s">
        <v>123</v>
      </c>
      <c r="C177" s="262">
        <f>C174+C175+C176</f>
      </c>
      <c r="D177" s="262">
        <f t="shared" ref="D177:Q177" si="12">D174+D175+D176</f>
      </c>
      <c r="E177" s="262">
        <f t="shared" si="12"/>
      </c>
      <c r="F177" s="262">
        <f t="shared" si="12"/>
      </c>
      <c r="G177" s="262">
        <f t="shared" si="12"/>
      </c>
      <c r="H177" s="262">
        <f t="shared" si="12"/>
      </c>
      <c r="I177" s="262">
        <f t="shared" si="12"/>
      </c>
      <c r="J177" s="262">
        <f t="shared" si="12"/>
      </c>
      <c r="K177" s="262">
        <f t="shared" si="12"/>
      </c>
      <c r="L177" s="262">
        <f t="shared" si="12"/>
      </c>
      <c r="M177" s="262">
        <f t="shared" si="12"/>
      </c>
      <c r="N177" s="262">
        <f t="shared" si="12"/>
      </c>
      <c r="O177" s="262">
        <f t="shared" si="12"/>
      </c>
      <c r="P177" s="262">
        <f t="shared" si="12"/>
      </c>
      <c r="Q177" s="262">
        <f t="shared" si="12"/>
      </c>
      <c r="R177" s="262"/>
      <c r="S177" s="264"/>
      <c r="T177" s="263">
        <f t="shared" ref="T177:T182" si="13">SUM(C177:S177)</f>
      </c>
      <c r="U177" s="239"/>
      <c r="V177" s="223"/>
      <c r="W177" s="235"/>
      <c r="X177" s="223"/>
      <c r="Y177" s="223"/>
      <c r="Z177" s="223"/>
    </row>
    <row r="178" spans="1:26" x14ac:dyDescent="0.25">
      <c r="A178" s="223"/>
      <c r="B178" s="309" t="s">
        <v>124</v>
      </c>
      <c r="C178" s="265">
        <f>C57</f>
      </c>
      <c r="D178" s="265">
        <f t="shared" ref="D178:Q178" si="14">D57</f>
      </c>
      <c r="E178" s="265">
        <f t="shared" si="14"/>
      </c>
      <c r="F178" s="265">
        <f t="shared" si="14"/>
      </c>
      <c r="G178" s="265">
        <f t="shared" si="14"/>
      </c>
      <c r="H178" s="265">
        <f t="shared" si="14"/>
      </c>
      <c r="I178" s="265">
        <f t="shared" si="14"/>
      </c>
      <c r="J178" s="265">
        <f t="shared" si="14"/>
      </c>
      <c r="K178" s="265">
        <f t="shared" si="14"/>
      </c>
      <c r="L178" s="265">
        <f t="shared" si="14"/>
      </c>
      <c r="M178" s="265">
        <f t="shared" si="14"/>
      </c>
      <c r="N178" s="265">
        <f t="shared" si="14"/>
      </c>
      <c r="O178" s="265">
        <f t="shared" si="14"/>
      </c>
      <c r="P178" s="265">
        <f t="shared" si="14"/>
      </c>
      <c r="Q178" s="265">
        <f t="shared" si="14"/>
      </c>
      <c r="R178" s="265"/>
      <c r="S178" s="266"/>
      <c r="T178" s="267">
        <f t="shared" si="13"/>
      </c>
      <c r="U178" s="239"/>
      <c r="V178" s="223"/>
      <c r="W178" s="235"/>
      <c r="X178" s="223"/>
      <c r="Y178" s="223"/>
      <c r="Z178" s="223"/>
    </row>
    <row r="179" spans="1:26" x14ac:dyDescent="0.25">
      <c r="A179" s="223"/>
      <c r="B179" s="308" t="s">
        <v>125</v>
      </c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9"/>
      <c r="T179" s="267">
        <f t="shared" si="13"/>
      </c>
      <c r="U179" s="239"/>
      <c r="V179" s="223"/>
      <c r="W179" s="235"/>
      <c r="X179" s="223"/>
      <c r="Y179" s="223"/>
      <c r="Z179" s="223"/>
    </row>
    <row r="180" spans="1:26" x14ac:dyDescent="0.25">
      <c r="A180" s="223"/>
      <c r="B180" s="308" t="s">
        <v>126</v>
      </c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70"/>
      <c r="T180" s="267">
        <f t="shared" si="13"/>
      </c>
      <c r="U180" s="239"/>
      <c r="V180" s="223"/>
      <c r="W180" s="235"/>
      <c r="X180" s="223"/>
      <c r="Y180" s="223"/>
      <c r="Z180" s="223"/>
    </row>
    <row r="181" spans="1:26" x14ac:dyDescent="0.25">
      <c r="A181" s="223"/>
      <c r="B181" s="308" t="s">
        <v>135</v>
      </c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9"/>
      <c r="T181" s="267">
        <f t="shared" si="13"/>
      </c>
      <c r="U181" s="239"/>
      <c r="V181" s="223"/>
      <c r="W181" s="235"/>
      <c r="X181" s="223"/>
      <c r="Y181" s="223"/>
      <c r="Z181" s="223"/>
    </row>
    <row r="182" spans="1:26" ht="15.75" thickBot="1" x14ac:dyDescent="0.3">
      <c r="A182" s="223"/>
      <c r="B182" s="309" t="s">
        <v>127</v>
      </c>
      <c r="C182" s="265">
        <f>SUM(C178:C181)</f>
      </c>
      <c r="D182" s="265">
        <f t="shared" ref="D182:Q182" si="15">SUM(D178:D181)</f>
      </c>
      <c r="E182" s="265">
        <f t="shared" si="15"/>
      </c>
      <c r="F182" s="265">
        <f t="shared" si="15"/>
      </c>
      <c r="G182" s="265">
        <f t="shared" si="15"/>
      </c>
      <c r="H182" s="265">
        <f t="shared" si="15"/>
      </c>
      <c r="I182" s="265">
        <f t="shared" si="15"/>
      </c>
      <c r="J182" s="265">
        <f t="shared" si="15"/>
      </c>
      <c r="K182" s="265">
        <f t="shared" si="15"/>
      </c>
      <c r="L182" s="265">
        <f t="shared" si="15"/>
      </c>
      <c r="M182" s="265">
        <f t="shared" si="15"/>
      </c>
      <c r="N182" s="265">
        <f t="shared" si="15"/>
      </c>
      <c r="O182" s="265">
        <f t="shared" si="15"/>
      </c>
      <c r="P182" s="265">
        <f t="shared" si="15"/>
      </c>
      <c r="Q182" s="265">
        <f t="shared" si="15"/>
      </c>
      <c r="R182" s="265"/>
      <c r="S182" s="266"/>
      <c r="T182" s="271">
        <f t="shared" si="13"/>
      </c>
      <c r="U182" s="239"/>
      <c r="V182" s="223"/>
      <c r="W182" s="235"/>
      <c r="X182" s="223"/>
      <c r="Y182" s="223"/>
      <c r="Z182" s="223"/>
    </row>
    <row r="183" spans="1:26" ht="15.75" x14ac:dyDescent="0.25">
      <c r="A183" s="223"/>
      <c r="B183" s="310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8"/>
      <c r="U183" s="239"/>
      <c r="V183" s="223"/>
      <c r="W183" s="235"/>
      <c r="X183" s="223"/>
      <c r="Y183" s="223"/>
      <c r="Z183" s="223"/>
    </row>
    <row r="184" spans="1:26" ht="15.75" thickBot="1" x14ac:dyDescent="0.3">
      <c r="A184" s="223"/>
      <c r="B184" s="272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35"/>
      <c r="X184" s="223"/>
      <c r="Y184" s="223"/>
      <c r="Z184" s="223"/>
    </row>
    <row r="185" spans="1:26" ht="15.75" thickBot="1" x14ac:dyDescent="0.3">
      <c r="A185" s="223"/>
      <c r="B185" s="311" t="s">
        <v>138</v>
      </c>
      <c r="C185" s="273">
        <f>C177-C182</f>
      </c>
      <c r="D185" s="273">
        <f t="shared" ref="D185:Q185" si="16">D177-D182</f>
      </c>
      <c r="E185" s="273">
        <f t="shared" si="16"/>
      </c>
      <c r="F185" s="273">
        <f t="shared" si="16"/>
      </c>
      <c r="G185" s="273">
        <f t="shared" si="16"/>
      </c>
      <c r="H185" s="273">
        <f t="shared" si="16"/>
      </c>
      <c r="I185" s="273">
        <f t="shared" si="16"/>
      </c>
      <c r="J185" s="273">
        <f t="shared" si="16"/>
      </c>
      <c r="K185" s="273">
        <f t="shared" si="16"/>
      </c>
      <c r="L185" s="273">
        <f t="shared" si="16"/>
      </c>
      <c r="M185" s="273">
        <f t="shared" si="16"/>
      </c>
      <c r="N185" s="273">
        <f t="shared" si="16"/>
      </c>
      <c r="O185" s="273">
        <f t="shared" si="16"/>
      </c>
      <c r="P185" s="273">
        <f t="shared" si="16"/>
      </c>
      <c r="Q185" s="273">
        <f t="shared" si="16"/>
      </c>
      <c r="R185" s="273"/>
      <c r="S185" s="273"/>
      <c r="T185" s="273"/>
      <c r="U185" s="239"/>
      <c r="V185" s="235"/>
      <c r="W185" s="235"/>
      <c r="X185" s="223"/>
      <c r="Y185" s="223"/>
      <c r="Z185" s="223"/>
    </row>
    <row r="186" spans="1:26" ht="15.75" thickBot="1" x14ac:dyDescent="0.3">
      <c r="A186" s="223"/>
      <c r="B186" s="274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39"/>
      <c r="O186" s="239"/>
      <c r="P186" s="239"/>
      <c r="Q186" s="239"/>
      <c r="R186" s="239"/>
      <c r="S186" s="239"/>
      <c r="T186" s="239"/>
      <c r="U186" s="239"/>
      <c r="V186" s="235"/>
      <c r="W186" s="235"/>
      <c r="X186" s="223"/>
      <c r="Y186" s="223"/>
      <c r="Z186" s="223"/>
    </row>
    <row r="187" spans="1:26" x14ac:dyDescent="0.25">
      <c r="A187" s="223"/>
      <c r="B187" s="304" t="s">
        <v>128</v>
      </c>
      <c r="C187" s="276">
        <f>C24+C54</f>
      </c>
      <c r="D187" s="276">
        <f t="shared" ref="D187:Q187" si="17">D24+D54</f>
      </c>
      <c r="E187" s="276">
        <f t="shared" si="17"/>
      </c>
      <c r="F187" s="276">
        <f t="shared" si="17"/>
      </c>
      <c r="G187" s="276">
        <f t="shared" si="17"/>
      </c>
      <c r="H187" s="276">
        <f t="shared" si="17"/>
      </c>
      <c r="I187" s="276">
        <f t="shared" si="17"/>
      </c>
      <c r="J187" s="276">
        <f t="shared" si="17"/>
      </c>
      <c r="K187" s="276">
        <f t="shared" si="17"/>
      </c>
      <c r="L187" s="276">
        <f t="shared" si="17"/>
      </c>
      <c r="M187" s="276">
        <f t="shared" si="17"/>
      </c>
      <c r="N187" s="276">
        <f t="shared" si="17"/>
      </c>
      <c r="O187" s="276">
        <f t="shared" si="17"/>
      </c>
      <c r="P187" s="276">
        <f t="shared" si="17"/>
      </c>
      <c r="Q187" s="276">
        <f t="shared" si="17"/>
      </c>
      <c r="R187" s="276"/>
      <c r="S187" s="277"/>
      <c r="T187" s="260">
        <f>SUM(C187:S187)</f>
      </c>
      <c r="U187" s="239"/>
      <c r="V187" s="235"/>
      <c r="W187" s="235"/>
      <c r="X187" s="223"/>
      <c r="Y187" s="223"/>
      <c r="Z187" s="223"/>
    </row>
    <row r="188" spans="1:26" ht="15.75" thickBot="1" x14ac:dyDescent="0.3">
      <c r="A188" s="223"/>
      <c r="B188" s="306" t="s">
        <v>129</v>
      </c>
      <c r="C188" s="279">
        <f>C182+C187</f>
      </c>
      <c r="D188" s="279">
        <f t="shared" ref="D188:Q188" si="18">D182+D187</f>
      </c>
      <c r="E188" s="279">
        <f t="shared" si="18"/>
      </c>
      <c r="F188" s="279">
        <f t="shared" si="18"/>
      </c>
      <c r="G188" s="279">
        <f t="shared" si="18"/>
      </c>
      <c r="H188" s="279">
        <f t="shared" si="18"/>
      </c>
      <c r="I188" s="279">
        <f t="shared" si="18"/>
      </c>
      <c r="J188" s="279">
        <f t="shared" si="18"/>
      </c>
      <c r="K188" s="279">
        <f t="shared" si="18"/>
      </c>
      <c r="L188" s="279">
        <f t="shared" si="18"/>
      </c>
      <c r="M188" s="279">
        <f t="shared" si="18"/>
      </c>
      <c r="N188" s="279">
        <f t="shared" si="18"/>
      </c>
      <c r="O188" s="279">
        <f t="shared" si="18"/>
      </c>
      <c r="P188" s="279">
        <f t="shared" si="18"/>
      </c>
      <c r="Q188" s="279">
        <f t="shared" si="18"/>
      </c>
      <c r="R188" s="279"/>
      <c r="S188" s="280"/>
      <c r="T188" s="271">
        <f>SUM(C188:S188)</f>
      </c>
      <c r="U188" s="239"/>
      <c r="V188" s="235"/>
      <c r="W188" s="235"/>
      <c r="X188" s="223"/>
      <c r="Y188" s="223"/>
      <c r="Z188" s="223"/>
    </row>
    <row r="189" spans="1:26" ht="15.75" thickBot="1" x14ac:dyDescent="0.3">
      <c r="A189" s="223"/>
      <c r="B189" s="281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39"/>
      <c r="U189" s="239"/>
      <c r="V189" s="235"/>
      <c r="W189" s="235"/>
      <c r="X189" s="223"/>
      <c r="Y189" s="223"/>
      <c r="Z189" s="223"/>
    </row>
    <row r="190" spans="1:26" ht="15.75" thickBot="1" x14ac:dyDescent="0.3">
      <c r="A190" s="223"/>
      <c r="B190" s="223"/>
      <c r="C190" s="283" t="s">
        <v>0</v>
      </c>
      <c r="D190" s="284" t="s">
        <v>1</v>
      </c>
      <c r="E190" s="284" t="s">
        <v>2</v>
      </c>
      <c r="F190" s="284" t="s">
        <v>3</v>
      </c>
      <c r="G190" s="284" t="s">
        <v>4</v>
      </c>
      <c r="H190" s="284" t="s">
        <v>5</v>
      </c>
      <c r="I190" s="284" t="s">
        <v>6</v>
      </c>
      <c r="J190" s="284" t="s">
        <v>7</v>
      </c>
      <c r="K190" s="284" t="s">
        <v>8</v>
      </c>
      <c r="L190" s="285" t="s">
        <v>9</v>
      </c>
      <c r="M190" s="286" t="s">
        <v>10</v>
      </c>
      <c r="N190" s="287" t="s">
        <v>11</v>
      </c>
      <c r="O190" s="287" t="s">
        <v>12</v>
      </c>
      <c r="P190" s="287" t="s">
        <v>13</v>
      </c>
      <c r="Q190" s="287"/>
      <c r="R190" s="287"/>
      <c r="S190" s="288"/>
      <c r="T190" s="239"/>
      <c r="U190" s="239"/>
      <c r="V190" s="235"/>
      <c r="W190" s="235"/>
      <c r="X190" s="223"/>
      <c r="Y190" s="223"/>
      <c r="Z190" s="223"/>
    </row>
    <row r="191" spans="1:26" x14ac:dyDescent="0.25">
      <c r="A191" s="223"/>
      <c r="B191" s="304" t="s">
        <v>130</v>
      </c>
      <c r="C191" s="289">
        <f>C180+C181</f>
      </c>
      <c r="D191" s="289">
        <f t="shared" ref="D191:Q191" si="19">D180+D181</f>
      </c>
      <c r="E191" s="289">
        <f t="shared" si="19"/>
      </c>
      <c r="F191" s="289">
        <f t="shared" si="19"/>
      </c>
      <c r="G191" s="289">
        <f t="shared" si="19"/>
      </c>
      <c r="H191" s="289">
        <f t="shared" si="19"/>
      </c>
      <c r="I191" s="289">
        <f t="shared" si="19"/>
      </c>
      <c r="J191" s="289">
        <f t="shared" si="19"/>
      </c>
      <c r="K191" s="289">
        <f t="shared" si="19"/>
      </c>
      <c r="L191" s="289">
        <f t="shared" si="19"/>
      </c>
      <c r="M191" s="289">
        <f t="shared" si="19"/>
      </c>
      <c r="N191" s="289">
        <f t="shared" si="19"/>
      </c>
      <c r="O191" s="289">
        <f t="shared" si="19"/>
      </c>
      <c r="P191" s="289">
        <f t="shared" si="19"/>
      </c>
      <c r="Q191" s="289">
        <f t="shared" si="19"/>
      </c>
      <c r="R191" s="289"/>
      <c r="S191" s="290"/>
      <c r="T191" s="260">
        <f t="shared" ref="T191:T197" si="20">SUM(C191:S191)</f>
      </c>
      <c r="U191" s="239"/>
      <c r="V191" s="235"/>
      <c r="W191" s="235"/>
      <c r="X191" s="223"/>
      <c r="Y191" s="223"/>
      <c r="Z191" s="223"/>
    </row>
    <row r="192" spans="1:26" x14ac:dyDescent="0.25">
      <c r="A192" s="223"/>
      <c r="B192" s="305" t="s">
        <v>131</v>
      </c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4"/>
      <c r="T192" s="267">
        <f t="shared" si="20"/>
      </c>
      <c r="U192" s="291"/>
      <c r="V192" s="235"/>
      <c r="W192" s="235"/>
      <c r="X192" s="223"/>
      <c r="Y192" s="223"/>
      <c r="Z192" s="223"/>
    </row>
    <row r="193" spans="1:26" x14ac:dyDescent="0.25">
      <c r="A193" s="223"/>
      <c r="B193" s="305" t="s">
        <v>132</v>
      </c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4"/>
      <c r="T193" s="267">
        <f t="shared" si="20"/>
      </c>
      <c r="U193" s="291"/>
      <c r="V193" s="235"/>
      <c r="W193" s="235"/>
      <c r="X193" s="223"/>
      <c r="Y193" s="223"/>
      <c r="Z193" s="223"/>
    </row>
    <row r="194" spans="1:26" x14ac:dyDescent="0.25">
      <c r="A194" s="223"/>
      <c r="B194" s="305" t="s">
        <v>136</v>
      </c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4"/>
      <c r="T194" s="267">
        <f t="shared" si="20"/>
      </c>
      <c r="U194" s="292"/>
      <c r="V194" s="235"/>
      <c r="W194" s="235"/>
      <c r="X194" s="223"/>
      <c r="Y194" s="223"/>
      <c r="Z194" s="223"/>
    </row>
    <row r="195" spans="1:26" x14ac:dyDescent="0.25">
      <c r="A195" s="223"/>
      <c r="B195" s="305" t="s">
        <v>137</v>
      </c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4"/>
      <c r="T195" s="267">
        <f t="shared" si="20"/>
      </c>
      <c r="U195" s="292"/>
      <c r="V195" s="235"/>
      <c r="W195" s="235"/>
      <c r="X195" s="223"/>
      <c r="Y195" s="223"/>
      <c r="Z195" s="223"/>
    </row>
    <row r="196" spans="1:26" x14ac:dyDescent="0.25">
      <c r="A196" s="223"/>
      <c r="B196" s="305" t="s">
        <v>133</v>
      </c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4"/>
      <c r="T196" s="267">
        <f>SUM(C196:S196)</f>
      </c>
      <c r="U196" s="292"/>
      <c r="V196" s="235"/>
      <c r="W196" s="235"/>
      <c r="X196" s="223"/>
      <c r="Y196" s="223"/>
      <c r="Z196" s="223"/>
    </row>
    <row r="197" spans="1:26" ht="15.75" thickBot="1" x14ac:dyDescent="0.3">
      <c r="A197" s="223"/>
      <c r="B197" s="278" t="s">
        <v>134</v>
      </c>
      <c r="C197" s="293">
        <f t="shared" ref="C197:Q197" si="21">C191-SUM(C192:C196)</f>
      </c>
      <c r="D197" s="293">
        <f t="shared" si="21"/>
      </c>
      <c r="E197" s="293">
        <f t="shared" si="21"/>
      </c>
      <c r="F197" s="293">
        <f t="shared" si="21"/>
      </c>
      <c r="G197" s="293">
        <f t="shared" si="21"/>
      </c>
      <c r="H197" s="293">
        <f t="shared" si="21"/>
      </c>
      <c r="I197" s="293">
        <f t="shared" si="21"/>
      </c>
      <c r="J197" s="293">
        <f t="shared" si="21"/>
      </c>
      <c r="K197" s="293">
        <f t="shared" si="21"/>
      </c>
      <c r="L197" s="293">
        <f t="shared" si="21"/>
      </c>
      <c r="M197" s="293">
        <f t="shared" si="21"/>
      </c>
      <c r="N197" s="293">
        <f t="shared" si="21"/>
      </c>
      <c r="O197" s="293">
        <f t="shared" si="21"/>
      </c>
      <c r="P197" s="293">
        <f t="shared" si="21"/>
      </c>
      <c r="Q197" s="293">
        <f t="shared" si="21"/>
      </c>
      <c r="R197" s="293"/>
      <c r="S197" s="294"/>
      <c r="T197" s="271">
        <f t="shared" si="20"/>
      </c>
      <c r="U197" s="239"/>
      <c r="V197" s="235"/>
      <c r="W197" s="235"/>
      <c r="X197" s="223"/>
      <c r="Y197" s="223"/>
      <c r="Z197" s="223"/>
    </row>
    <row r="198" spans="1:26" x14ac:dyDescent="0.25">
      <c r="A198" s="223"/>
      <c r="B198" s="228"/>
      <c r="C198" s="239"/>
      <c r="D198" s="239"/>
      <c r="E198" s="239"/>
      <c r="F198" s="239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5"/>
      <c r="W198" s="235"/>
      <c r="X198" s="223"/>
      <c r="Y198" s="223"/>
      <c r="Z198" s="223"/>
    </row>
    <row r="199" spans="1:26" x14ac:dyDescent="0.25">
      <c r="A199" s="223"/>
      <c r="F199" s="239"/>
      <c r="G199" s="239"/>
      <c r="H199" s="295"/>
      <c r="I199" s="296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5"/>
      <c r="W199" s="235"/>
      <c r="X199" s="223"/>
      <c r="Y199" s="223"/>
      <c r="Z199" s="223"/>
    </row>
    <row r="200" spans="1:26" x14ac:dyDescent="0.25">
      <c r="A200" s="223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5"/>
      <c r="W200" s="235"/>
      <c r="X200" s="223"/>
      <c r="Y200" s="223"/>
      <c r="Z200" s="223"/>
    </row>
    <row r="201" spans="1:26" ht="15.75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23"/>
    </row>
    <row r="202" spans="1:26" ht="15.75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23"/>
    </row>
    <row r="203" spans="1:26" ht="15.75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23"/>
    </row>
    <row r="204" spans="1:26" ht="15.75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1"/>
    </row>
    <row r="205" spans="1:26" ht="15.75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1"/>
    </row>
    <row r="206" spans="1:26" ht="15.75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1"/>
    </row>
    <row r="207" spans="1:26" ht="15.75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1"/>
    </row>
    <row r="208" spans="1:26" ht="15.75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1"/>
    </row>
    <row r="209" spans="1:26" ht="15.75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1"/>
    </row>
    <row r="210" spans="1:26" ht="15.75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1"/>
    </row>
    <row r="211" spans="1:26" ht="15.75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1"/>
    </row>
    <row r="212" spans="1:26" ht="15.75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1"/>
    </row>
    <row r="213" spans="1:26" ht="15.75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1"/>
    </row>
    <row r="214" spans="1:26" ht="15.75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1"/>
    </row>
  </sheetData>
  <mergeCells count="5">
    <mergeCell ref="C7:S7"/>
    <mergeCell ref="C27:S27"/>
    <mergeCell ref="A57:B57"/>
    <mergeCell ref="D82:F82"/>
    <mergeCell ref="J82:L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2026-10-21T14:19:42Z</dcterms:modified>
</cp:coreProperties>
</file>